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929" documentId="11_C233D6D27C5B9F0F97E819E7E0BCBE8359B1E8BC" xr6:coauthVersionLast="47" xr6:coauthVersionMax="47" xr10:uidLastSave="{60194D64-B0BA-4D53-98D6-88FCF3578853}"/>
  <bookViews>
    <workbookView xWindow="0" yWindow="0" windowWidth="0" windowHeight="0" xr2:uid="{00000000-000D-0000-FFFF-FFFF00000000}"/>
  </bookViews>
  <sheets>
    <sheet name="Checklist" sheetId="1" r:id="rId1"/>
    <sheet name="Placeholders" sheetId="2" r:id="rId2"/>
    <sheet name="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" l="1"/>
  <c r="H13" i="3"/>
  <c r="I11" i="3"/>
  <c r="H11" i="3"/>
  <c r="G11" i="3"/>
  <c r="F11" i="3"/>
  <c r="E11" i="3"/>
  <c r="D11" i="3"/>
  <c r="C11" i="3"/>
  <c r="I10" i="3"/>
  <c r="H10" i="3"/>
  <c r="G10" i="3"/>
  <c r="F10" i="3"/>
  <c r="E10" i="3"/>
  <c r="D10" i="3"/>
  <c r="C10" i="3"/>
  <c r="B10" i="3"/>
  <c r="I9" i="3"/>
  <c r="H9" i="3"/>
  <c r="G9" i="3"/>
  <c r="F9" i="3"/>
  <c r="E9" i="3"/>
  <c r="D9" i="3"/>
  <c r="C9" i="3"/>
  <c r="B9" i="3"/>
  <c r="I8" i="3"/>
  <c r="H8" i="3"/>
  <c r="G8" i="3"/>
  <c r="F8" i="3"/>
  <c r="E8" i="3"/>
  <c r="D8" i="3"/>
  <c r="C8" i="3"/>
  <c r="B8" i="3"/>
  <c r="I7" i="3"/>
  <c r="H7" i="3"/>
  <c r="G7" i="3"/>
  <c r="F7" i="3"/>
  <c r="E7" i="3"/>
  <c r="D7" i="3"/>
  <c r="C7" i="3"/>
  <c r="B7" i="3"/>
  <c r="I6" i="3"/>
  <c r="H6" i="3"/>
  <c r="G6" i="3"/>
  <c r="F6" i="3"/>
  <c r="E6" i="3"/>
  <c r="D6" i="3"/>
  <c r="C6" i="3"/>
  <c r="B6" i="3"/>
  <c r="I5" i="3"/>
  <c r="H5" i="3"/>
  <c r="G5" i="3"/>
  <c r="F5" i="3"/>
  <c r="E5" i="3"/>
  <c r="D5" i="3"/>
  <c r="C5" i="3"/>
  <c r="B5" i="3"/>
  <c r="I4" i="3"/>
  <c r="H4" i="3"/>
  <c r="G4" i="3"/>
  <c r="F4" i="3"/>
  <c r="E4" i="3"/>
  <c r="D4" i="3"/>
  <c r="C4" i="3"/>
  <c r="B4" i="3"/>
</calcChain>
</file>

<file path=xl/sharedStrings.xml><?xml version="1.0" encoding="utf-8"?>
<sst xmlns="http://schemas.openxmlformats.org/spreadsheetml/2006/main" count="521" uniqueCount="243">
  <si>
    <t>TVA Ninja Cohort 3 – Agentic Workflow Workshop: Pre-Class Facilitator Checklist</t>
  </si>
  <si>
    <t>Workshop date: Tuesday, Nov 3, 2026 · TVA Microsoft 365 GCC tenant · Facilitator: Wesley Floyd (Microsoft) – add co-facilitators · Microsoft facilitates; TVA participants build their own agents and flows</t>
  </si>
  <si>
    <t>#</t>
  </si>
  <si>
    <t>Phase</t>
  </si>
  <si>
    <t>Category</t>
  </si>
  <si>
    <t>Task</t>
  </si>
  <si>
    <t>Owner</t>
  </si>
  <si>
    <t>Due Date</t>
  </si>
  <si>
    <t>Status</t>
  </si>
  <si>
    <t>Notes / Evidence</t>
  </si>
  <si>
    <t>T-10 days</t>
  </si>
  <si>
    <t>Tenant &amp; Licensing</t>
  </si>
  <si>
    <t>Confirm TVA Microsoft 365 GCC tenant name ({{TVA_TENANT_NAME}})</t>
  </si>
  <si>
    <t>TVA</t>
  </si>
  <si>
    <t>Not Started</t>
  </si>
  <si>
    <t>Record exact tenant name/domain on the Placeholders sheet.</t>
  </si>
  <si>
    <t>Confirm a dedicated Copilot Studio environment in GCC — not the Default environment ({{TVA_COPILOT_STUDIO_ENVIRONMENT}})</t>
  </si>
  <si>
    <t>Joint</t>
  </si>
  <si>
    <t>Capture environment name/URL; confirm participants have Environment Maker rights.</t>
  </si>
  <si>
    <t>Confirm Power Platform region for the environment ({{TVA_POWER_PLATFORM_REGION}})</t>
  </si>
  <si>
    <t>Record region shown in Power Platform admin center.</t>
  </si>
  <si>
    <t>Confirm Microsoft 365 Copilot licenses assigned to all participants</t>
  </si>
  <si>
    <t>Attach roster with license status per participant.</t>
  </si>
  <si>
    <t>Confirm Copilot Studio access and capacity (messages/capacity allocated to the workshop environment)</t>
  </si>
  <si>
    <t>Note capacity source (tenant/environment) and any limits.</t>
  </si>
  <si>
    <t>Confirm Power Automate premium needs — Copilot Studio agent actions called from flows</t>
  </si>
  <si>
    <t>Identify who needs premium/per-user or per-flow coverage for the 3 flows.</t>
  </si>
  <si>
    <t>Governance &amp; DLP</t>
  </si>
  <si>
    <t>DLP policy review: place SharePoint, Approvals, Teams, Office 365 Outlook, Planner and Copilot Studio connectors in the same "Business" data group</t>
  </si>
  <si>
    <t>Unclassified connectors are blocked at runtime — screenshot the policy scoped to the workshop environment.</t>
  </si>
  <si>
    <t>GCC Feature Parity</t>
  </si>
  <si>
    <t>GCC parity check: Agent Builder is available in GCC, but embedded file content is NOT supported as a knowledge source in GCC — plan SharePoint knowledge instead</t>
  </si>
  <si>
    <t>Microsoft</t>
  </si>
  <si>
    <t>Confirm against current GCC service description; adjust labs if needed.</t>
  </si>
  <si>
    <t>Confirm in TVA's GCC tenant: generative answers over SharePoint knowledge, Copilot Studio agent actions from Power Automate, and publishing agents to Teams/M365</t>
  </si>
  <si>
    <t>Record pass/fail per capability; any gap becomes a lab workaround.</t>
  </si>
  <si>
    <t>Security/compliance sign-off that only public TVA content (plus customer-provided workshop content) is used</t>
  </si>
  <si>
    <t>Name of approver + date; no internal/private data (e.g., Vantage, internal email/chat exports).</t>
  </si>
  <si>
    <t>T-7 days</t>
  </si>
  <si>
    <t>Placeholders</t>
  </si>
  <si>
    <t>Fill {{TVA_SHAREPOINT_SITE_URL}} — workshop SharePoint site URL</t>
  </si>
  <si>
    <t>See Placeholders sheet.</t>
  </si>
  <si>
    <t>Fill {{TVA_KNOWLEDGE_LIBRARY_NAME}} (default: Knowledge-Public)</t>
  </si>
  <si>
    <t>Fill {{TVA_TRANSMISSION_LIST_NAME}} (default: TransmissionProjects)</t>
  </si>
  <si>
    <t>Fill {{TVA_TRANSMISSION_DRAFTS_LIST_NAME}} (default: TransmissionUpdateDrafts)</t>
  </si>
  <si>
    <t>Fill {{TVA_PUBLICCOMMENTS_LIST_NAME}} (default: PublicComments)</t>
  </si>
  <si>
    <t>Fill {{TVA_BRIEFREQUESTS_LIST_NAME}} (default: ExecutiveBriefRequests)</t>
  </si>
  <si>
    <t>Fill {{TVA_ONEDRIVE_WORKSHOP_FOLDER}} (suggested: /TVANinjaCohort3/)</t>
  </si>
  <si>
    <t>Subfolders: working-drafts/, demo-exports/.</t>
  </si>
  <si>
    <t>Fill {{TVA_SERVICE_AREA_REGION}}</t>
  </si>
  <si>
    <t>Used to scope agent answers to TVA's service area.</t>
  </si>
  <si>
    <t>Fill {{TVA_TEAMS_WORKSHOP_TEAM}} — create/confirm the workshop Team</t>
  </si>
  <si>
    <t>Team owner(s) recorded.</t>
  </si>
  <si>
    <t>Fill {{TVA_TEAMS_WORKSHOP_CHANNEL}} — create/confirm the workshop channel</t>
  </si>
  <si>
    <t>Approved posts from all 3 flows land here.</t>
  </si>
  <si>
    <t>Fill {{TVA_APPROVER_GROUP_EMAIL}} — configure approver group</t>
  </si>
  <si>
    <t>Mail-enabled group; confirm members can respond to Approvals.</t>
  </si>
  <si>
    <t>Fill {{TVA_DEFAULT_OWNER_TRANSMISSION}} — default Transmission owner</t>
  </si>
  <si>
    <t>Name + email.</t>
  </si>
  <si>
    <t>Fill {{TVA_DEFAULT_OWNER_CAO}} — default CAO owner (Planner tasks from comment triage)</t>
  </si>
  <si>
    <t>Fill {{TVA_DEFAULT_OWNER_IT}} — default IT owner</t>
  </si>
  <si>
    <t>Fill {{FLOW_TRANSMISSION_UPDATE_APPROVAL_NAME}} (suggested: TVA-Transmission-Update-Approval)</t>
  </si>
  <si>
    <t>Flow 1.</t>
  </si>
  <si>
    <t>Fill {{FLOW_PUBLICCOMMENT_TRIAGE_NAME}} (suggested: TVA-Public-Comment-Triage)</t>
  </si>
  <si>
    <t>Flow 2.</t>
  </si>
  <si>
    <t>Fill {{FLOW_STRATEGIC_BRIEF_PUBLISH_NAME}} (suggested: TVA-Strategic-Brief-Publish)</t>
  </si>
  <si>
    <t>Flow 3.</t>
  </si>
  <si>
    <t>Fill workshop settings: {{WORKSHOP_DATE}}, {{FACILITATOR_NAME}}, {{COHORT_NAME}}</t>
  </si>
  <si>
    <t>Nov 3, 2026 · Wesley Floyd (Microsoft) + co-facilitators · TVA Ninja Cohort 3.</t>
  </si>
  <si>
    <t>Replace every placeholder across the workshop docs with confirmed values</t>
  </si>
  <si>
    <t>Search docs for "{{" — zero remaining before T-5.</t>
  </si>
  <si>
    <t>T-5 days</t>
  </si>
  <si>
    <t>SharePoint Setup</t>
  </si>
  <si>
    <t>Confirm SharePoint site exists and participants have access ({{TVA_SHAREPOINT_SITE_URL}})</t>
  </si>
  <si>
    <t>Member/Edit permissions for all participants.</t>
  </si>
  <si>
    <t>Create Knowledge-Public library with folders: Strategic-Plan, Transmission-Projects, Powerhouse-Stories, Reference-Policies, Generation</t>
  </si>
  <si>
    <t>Folder names exactly as listed.</t>
  </si>
  <si>
    <t>Create the 4 lists (TransmissionProjects, TransmissionUpdateDrafts, PublicComments, ExecutiveBriefRequests) using "TVA Cohort 3 - SharePoint List Import Kit.xlsx"</t>
  </si>
  <si>
    <t>Column names must match docs/02 exactly.</t>
  </si>
  <si>
    <t>Verify list columns incl. audit fields (FlowRunId, AgentVersion, Approver, ApprovalDecision, DecisionTimestamp, PublishedArtifactLink) on Drafts, PublicComments, ExecutiveBriefRequests</t>
  </si>
  <si>
    <t>Spot-check against docs/02 column lists.</t>
  </si>
  <si>
    <t>Restrict Stage columns to controlled values: Planning, Siting, Environmental Review, Survey/Realty, Construction, In Service, Needs human verification</t>
  </si>
  <si>
    <t>Use a Choice column; no free text.</t>
  </si>
  <si>
    <t>Load ≥5 transmission sample rows into TransmissionProjects (each with SourceUrl, Stage, PublicCommentStatus)</t>
  </si>
  <si>
    <t>Data quality minimums per docs/02.</t>
  </si>
  <si>
    <t>Public Sources</t>
  </si>
  <si>
    <t>Upload TVA FY26–FY30 Strategic Plan PDF to Strategic-Plan/</t>
  </si>
  <si>
    <t>Public tva.com source only.</t>
  </si>
  <si>
    <t>Upload transmission project pages to Transmission-Projects/ and Powerhouse stories to Powerhouse-Stories/</t>
  </si>
  <si>
    <t>Include SourceUrl for each item.</t>
  </si>
  <si>
    <t>Upload 2026 IRP executive summary (Generation/ or Reference-Policies/)</t>
  </si>
  <si>
    <t>Public source; note page/section for citations.</t>
  </si>
  <si>
    <t>Save a test file in the OneDrive workshop folder to confirm permissions</t>
  </si>
  <si>
    <t>/TVANinjaCohort3/working-drafts/</t>
  </si>
  <si>
    <t>T-3 days</t>
  </si>
  <si>
    <t>Agent Build &amp; Test</t>
  </si>
  <si>
    <t>Build and test Transmission Planning Navigator in facilitator environment</t>
  </si>
  <si>
    <t>Project summary + stage/schedule prompts grounded in SharePoint.</t>
  </si>
  <si>
    <t>Build and test Strategic Alignment Briefing Agent</t>
  </si>
  <si>
    <t>Audience variants: Finance, Nuclear, CAO.</t>
  </si>
  <si>
    <t>Build and test Transmission Comment Triage Agent</t>
  </si>
  <si>
    <t>Category, urgency, NeedsHumanReview, draft response.</t>
  </si>
  <si>
    <t>Flow Build &amp; Test</t>
  </si>
  <si>
    <t>Pre-stage the 3 flows: Transmission Update Approval, Public Comment Triage, Strategic Brief Publish</t>
  </si>
  <si>
    <t>Fallback for 45–50 min sessions: participants wire trigger/actions only.</t>
  </si>
  <si>
    <t>Pre-create connections: SharePoint, Approvals, Teams, Office 365 Outlook, Planner, Copilot Studio</t>
  </si>
  <si>
    <t>Connections in the workshop environment, allowed by DLP.</t>
  </si>
  <si>
    <t>Dry-run approve AND reject branches on all 3 flows</t>
  </si>
  <si>
    <t>Published / Needs Revision (Flows 1 &amp; 3); Approved for Response / Revision Required (Flow 2).</t>
  </si>
  <si>
    <t>Verify audit fields persist on list items after each run</t>
  </si>
  <si>
    <t>FlowRunId, AgentVersion, Approver, ApprovalDecision, DecisionTimestamp, PublishedArtifactLink.</t>
  </si>
  <si>
    <t>Safety Tests</t>
  </si>
  <si>
    <t>Safety test: missing data returns "Needs human verification" (no fabrication)</t>
  </si>
  <si>
    <t>Screenshot response as evidence.</t>
  </si>
  <si>
    <t>Safety test: out-of-scope request is refused</t>
  </si>
  <si>
    <t>e.g., internal/private data request; screenshot refusal.</t>
  </si>
  <si>
    <t>T-1 day</t>
  </si>
  <si>
    <t>Data Validation</t>
  </si>
  <si>
    <t>Re-validate 5 sample rows vs tva.com: Claysville (In Service/Closed), Jones Chapel (Survey/Realty/Closed), Star Gap (Survey/Realty/Closed), Crossville (Siting/Open – comment period through Dec 3, 2026), Florence (Construction/Closed)</t>
  </si>
  <si>
    <t>Note any changes from tva.com; update Stage/PublicCommentStatus.</t>
  </si>
  <si>
    <t>Update LastValidatedOn for all transmission rows</t>
  </si>
  <si>
    <t>Set to validation date (Nov 2, 2026).</t>
  </si>
  <si>
    <t>Logistics</t>
  </si>
  <si>
    <t>Confirm every participant can sign in to the GCC tenant, Copilot Studio and Power Automate</t>
  </si>
  <si>
    <t>Track exceptions by name.</t>
  </si>
  <si>
    <t>Room / Teams logistics: meeting link, room AV, screen sharing, Wi-Fi</t>
  </si>
  <si>
    <t>Backup presenter laptop.</t>
  </si>
  <si>
    <t>Load the interactive presenter package and test on the presenting device</t>
  </si>
  <si>
    <t>Offline copy available.</t>
  </si>
  <si>
    <t>Confirm breakout assignments: Transmission + Generation, Finance + Nuclear, IT + CAO</t>
  </si>
  <si>
    <t>Share pair/group list with participants.</t>
  </si>
  <si>
    <t>Day of</t>
  </si>
  <si>
    <t>Day-of Readiness</t>
  </si>
  <si>
    <t>Environment check: sign in, open environment, run one agent prompt and one test flow</t>
  </si>
  <si>
    <t>Before participants arrive.</t>
  </si>
  <si>
    <t>Demo backups ready: screenshots of each agent and flow run</t>
  </si>
  <si>
    <t>Use if live service is slow/unavailable.</t>
  </si>
  <si>
    <t>Run timing plan per docs/11 (Context 5 · Transmission 12 · Briefing 10 · Comment triage + flow 10 · Q&amp;A 8)</t>
  </si>
  <si>
    <t>Hands-on mode: objective 5 · fill-in 5 · agent build 25–35 · flow 20–30 · debrief 10.</t>
  </si>
  <si>
    <t>Confirm docs/00 fill-in template is open for participants</t>
  </si>
  <si>
    <t>Participants complete in first 5 minutes.</t>
  </si>
  <si>
    <t>Post-workshop</t>
  </si>
  <si>
    <t>Acceptance – Data &amp; Governance</t>
  </si>
  <si>
    <t>All source content is public TVA or customer-provided; no internal/private source references exist</t>
  </si>
  <si>
    <t>Spot-check library and list SourceUrl values.</t>
  </si>
  <si>
    <t>All artifacts stored in SharePoint/OneDrive; outbound messages require approval</t>
  </si>
  <si>
    <t>Verify approval step precedes every post/send.</t>
  </si>
  <si>
    <t>Acceptance – Agent Quality</t>
  </si>
  <si>
    <t>Agent responses include source-grounded language; missing data is flagged, not fabricated</t>
  </si>
  <si>
    <t>Review sample transcripts.</t>
  </si>
  <si>
    <t>Transmission lifecycle explanation is accurate; role-based briefing adapts by work area</t>
  </si>
  <si>
    <t>Check against controlled Stage values.</t>
  </si>
  <si>
    <t>Acceptance – Workflow Quality</t>
  </si>
  <si>
    <t>Approval branches work for approve/reject; SharePoint records persist complete audit fields</t>
  </si>
  <si>
    <t>Run history + list item evidence.</t>
  </si>
  <si>
    <t>Planner/Teams notifications route to expected owners; failed runs surface actionable errors</t>
  </si>
  <si>
    <t>Test one deliberate failure.</t>
  </si>
  <si>
    <t>Expansion Backlog</t>
  </si>
  <si>
    <t>Follow up on expansion backlog: Nuclear outage comms, Dam-management seasonal ops, Finance rate-impact explainer, IT incident briefing, CAO hearing prep</t>
  </si>
  <si>
    <t>Schedule follow-up session with work-area leads.</t>
  </si>
  <si>
    <t>Workshop Placeholders – values to confirm before class (docs/00 fill-in template)</t>
  </si>
  <si>
    <t>Fill the TVA Value column by T-7 (Oct 27, 2026); defaults and suggestions come from docs/00 and docs/02.</t>
  </si>
  <si>
    <t>Placeholder</t>
  </si>
  <si>
    <t>Section</t>
  </si>
  <si>
    <t>Description</t>
  </si>
  <si>
    <t>Default / Suggested Value</t>
  </si>
  <si>
    <t>TVA Value</t>
  </si>
  <si>
    <t>Confirmed By</t>
  </si>
  <si>
    <t>{{TVA_TENANT_NAME}}</t>
  </si>
  <si>
    <t>Tenant and environment</t>
  </si>
  <si>
    <t>TVA Microsoft 365 GCC tenant name</t>
  </si>
  <si>
    <t>TVA to confirm</t>
  </si>
  <si>
    <t>{{TVA_COPILOT_STUDIO_ENVIRONMENT}}</t>
  </si>
  <si>
    <t>Copilot Studio / Power Platform environment for the workshop</t>
  </si>
  <si>
    <t>Dedicated GCC environment (not Default)</t>
  </si>
  <si>
    <t>{{TVA_POWER_PLATFORM_REGION}}</t>
  </si>
  <si>
    <t>Power Platform region of the environment</t>
  </si>
  <si>
    <t>{{TVA_SHAREPOINT_SITE_URL}}</t>
  </si>
  <si>
    <t>SharePoint and OneDrive</t>
  </si>
  <si>
    <t>Workshop SharePoint site URL</t>
  </si>
  <si>
    <t>{{TVA_KNOWLEDGE_LIBRARY_NAME}}</t>
  </si>
  <si>
    <t>Document library holding public knowledge sources</t>
  </si>
  <si>
    <t>Knowledge-Public</t>
  </si>
  <si>
    <t>{{TVA_TRANSMISSION_LIST_NAME}}</t>
  </si>
  <si>
    <t>List of transmission projects</t>
  </si>
  <si>
    <t>TransmissionProjects</t>
  </si>
  <si>
    <t>{{TVA_TRANSMISSION_DRAFTS_LIST_NAME}}</t>
  </si>
  <si>
    <t>List of transmission update drafts (Flow 1)</t>
  </si>
  <si>
    <t>TransmissionUpdateDrafts</t>
  </si>
  <si>
    <t>{{TVA_PUBLICCOMMENTS_LIST_NAME}}</t>
  </si>
  <si>
    <t>List of public comments (Flow 2)</t>
  </si>
  <si>
    <t>PublicComments</t>
  </si>
  <si>
    <t>{{TVA_BRIEFREQUESTS_LIST_NAME}}</t>
  </si>
  <si>
    <t>List of executive brief requests (Flow 3)</t>
  </si>
  <si>
    <t>ExecutiveBriefRequests</t>
  </si>
  <si>
    <t>{{TVA_ONEDRIVE_WORKSHOP_FOLDER}}</t>
  </si>
  <si>
    <t>Personal OneDrive working folder</t>
  </si>
  <si>
    <t>/TVANinjaCohort3/ (working-drafts/, demo-exports/)</t>
  </si>
  <si>
    <t>{{TVA_SERVICE_AREA_REGION}}</t>
  </si>
  <si>
    <t>TVA service-area region used to scope answers</t>
  </si>
  <si>
    <t>{{TVA_TEAMS_WORKSHOP_TEAM}}</t>
  </si>
  <si>
    <t>Teams and approvals</t>
  </si>
  <si>
    <t>Microsoft Teams team for the workshop</t>
  </si>
  <si>
    <t>{{TVA_TEAMS_WORKSHOP_CHANNEL}}</t>
  </si>
  <si>
    <t>Teams channel where approved posts land</t>
  </si>
  <si>
    <t>{{TVA_APPROVER_GROUP_EMAIL}}</t>
  </si>
  <si>
    <t>Approver group email for all approval steps</t>
  </si>
  <si>
    <t>{{TVA_DEFAULT_OWNER_TRANSMISSION}}</t>
  </si>
  <si>
    <t>Default owner – Transmission</t>
  </si>
  <si>
    <t>{{TVA_DEFAULT_OWNER_CAO}}</t>
  </si>
  <si>
    <t>Default owner – CAO (Planner tasks from comment triage)</t>
  </si>
  <si>
    <t>{{TVA_DEFAULT_OWNER_IT}}</t>
  </si>
  <si>
    <t>Default owner – IT</t>
  </si>
  <si>
    <t>{{FLOW_TRANSMISSION_UPDATE_APPROVAL_NAME}}</t>
  </si>
  <si>
    <t>Power Automate flows</t>
  </si>
  <si>
    <t>Flow 1 – transmission update draft approval</t>
  </si>
  <si>
    <t>TVA-Transmission-Update-Approval</t>
  </si>
  <si>
    <t>{{FLOW_PUBLICCOMMENT_TRIAGE_NAME}}</t>
  </si>
  <si>
    <t>Flow 2 – public comment triage routing</t>
  </si>
  <si>
    <t>TVA-Public-Comment-Triage</t>
  </si>
  <si>
    <t>{{FLOW_STRATEGIC_BRIEF_PUBLISH_NAME}}</t>
  </si>
  <si>
    <t>Flow 3 – strategic brief pack publisher</t>
  </si>
  <si>
    <t>TVA-Strategic-Brief-Publish</t>
  </si>
  <si>
    <t>{{WORKSHOP_DATE}}</t>
  </si>
  <si>
    <t>Workshop settings</t>
  </si>
  <si>
    <t>Workshop delivery date</t>
  </si>
  <si>
    <t>Tuesday, Nov 3, 2026</t>
  </si>
  <si>
    <t>{{FACILITATOR_NAME}}</t>
  </si>
  <si>
    <t>Facilitator(s)</t>
  </si>
  <si>
    <t>Wesley Floyd (Microsoft) – add co-facilitators</t>
  </si>
  <si>
    <t>{{COHORT_NAME}}</t>
  </si>
  <si>
    <t>Cohort name</t>
  </si>
  <si>
    <t>TVA Ninja Cohort 3</t>
  </si>
  <si>
    <t>Readiness Summary – Status by Phase</t>
  </si>
  <si>
    <t>Live counts from the Checklist sheet. % Complete = Done ÷ (Total − N/A).</t>
  </si>
  <si>
    <t>In Progress</t>
  </si>
  <si>
    <t>Done</t>
  </si>
  <si>
    <t>Blocked</t>
  </si>
  <si>
    <t>N/A</t>
  </si>
  <si>
    <t>Total</t>
  </si>
  <si>
    <t>% Complete</t>
  </si>
  <si>
    <t>Check: Summary total vs Checklist rows (should be 0)</t>
  </si>
  <si>
    <t>Rows with blank or invalid Status (should be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</si>
</sst>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,\ mmm\ d\,\ yyyy"/>
    <numFmt numFmtId="165" formatCode="0.0%"/>
  </numFmts>
  <fonts count="8">
    <font>
      <sz val="11"/>
      <color theme="1"/>
      <name val="Calibri"/>
      <family val="2"/>
      <scheme val="minor"/>
    </font>
    <font>
      <sz val="10"/>
      <color theme="1"/>
      <name val="Segoe UI"/>
    </font>
    <font>
      <b/>
      <sz val="10"/>
      <color rgb="FF1B3A6B"/>
      <name val="Segoe UI"/>
    </font>
    <font>
      <b/>
      <sz val="16"/>
      <color rgb="FF1B3A6B"/>
      <name val="Segoe UI"/>
    </font>
    <font>
      <i/>
      <sz val="10"/>
      <color rgb="FF404040"/>
      <name val="Segoe UI"/>
    </font>
    <font>
      <b/>
      <sz val="10"/>
      <color rgb="FFFFFFFF"/>
      <name val="Segoe UI"/>
    </font>
    <font>
      <sz val="10"/>
      <color rgb="FF1B3A6B"/>
      <name val="Consolas"/>
    </font>
    <font>
      <i/>
      <sz val="10"/>
      <color rgb="FF59595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  <fill>
      <patternFill patternType="solid">
        <fgColor rgb="FFD6E2F3"/>
        <bgColor indexed="64"/>
      </patternFill>
    </fill>
    <fill>
      <patternFill patternType="solid">
        <fgColor rgb="FFEEF3FA"/>
        <bgColor indexed="64"/>
      </patternFill>
    </fill>
    <fill>
      <patternFill patternType="solid">
        <fgColor rgb="FFFFF9E6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1B3A6B"/>
      </top>
      <bottom/>
      <diagonal/>
    </border>
    <border>
      <left style="thin">
        <color rgb="FF1B3A6B"/>
      </left>
      <right/>
      <top style="thin">
        <color rgb="FF1B3A6B"/>
      </top>
      <bottom/>
      <diagonal/>
    </border>
    <border>
      <left/>
      <right style="thin">
        <color rgb="FF1B3A6B"/>
      </right>
      <top style="thin">
        <color rgb="FF1B3A6B"/>
      </top>
      <bottom/>
      <diagonal/>
    </border>
    <border>
      <left/>
      <right/>
      <top style="thin">
        <color rgb="FFBFC9D9"/>
      </top>
      <bottom/>
      <diagonal/>
    </border>
    <border>
      <left/>
      <right/>
      <top/>
      <bottom style="thin">
        <color rgb="FFBFC9D9"/>
      </bottom>
      <diagonal/>
    </border>
    <border>
      <left style="thin">
        <color rgb="FFBFC9D9"/>
      </left>
      <right/>
      <top style="thin">
        <color rgb="FFBFC9D9"/>
      </top>
      <bottom/>
      <diagonal/>
    </border>
    <border>
      <left style="thin">
        <color rgb="FFBFC9D9"/>
      </left>
      <right/>
      <top/>
      <bottom/>
      <diagonal/>
    </border>
    <border>
      <left style="thin">
        <color rgb="FFBFC9D9"/>
      </left>
      <right/>
      <top/>
      <bottom style="thin">
        <color rgb="FFBFC9D9"/>
      </bottom>
      <diagonal/>
    </border>
    <border>
      <left/>
      <right style="thin">
        <color rgb="FFBFC9D9"/>
      </right>
      <top style="thin">
        <color rgb="FFBFC9D9"/>
      </top>
      <bottom/>
      <diagonal/>
    </border>
    <border>
      <left/>
      <right style="thin">
        <color rgb="FFBFC9D9"/>
      </right>
      <top/>
      <bottom/>
      <diagonal/>
    </border>
    <border>
      <left/>
      <right style="thin">
        <color rgb="FFBFC9D9"/>
      </right>
      <top/>
      <bottom style="thin">
        <color rgb="FFBFC9D9"/>
      </bottom>
      <diagonal/>
    </border>
    <border>
      <left style="thin">
        <color rgb="FFBFC9D9"/>
      </left>
      <right/>
      <top style="medium">
        <color rgb="FF1B3A6B"/>
      </top>
      <bottom/>
      <diagonal/>
    </border>
    <border>
      <left/>
      <right/>
      <top style="medium">
        <color rgb="FF1B3A6B"/>
      </top>
      <bottom/>
      <diagonal/>
    </border>
    <border>
      <left/>
      <right style="thin">
        <color rgb="FFBFC9D9"/>
      </right>
      <top style="medium">
        <color rgb="FF1B3A6B"/>
      </top>
      <bottom/>
      <diagonal/>
    </border>
    <border>
      <left style="thin">
        <color rgb="FFBFC9D9"/>
      </left>
      <right/>
      <top style="medium">
        <color rgb="FF1B3A6B"/>
      </top>
      <bottom style="thin">
        <color rgb="FFBFC9D9"/>
      </bottom>
      <diagonal/>
    </border>
    <border>
      <left/>
      <right/>
      <top style="medium">
        <color rgb="FF1B3A6B"/>
      </top>
      <bottom style="thin">
        <color rgb="FFBFC9D9"/>
      </bottom>
      <diagonal/>
    </border>
    <border>
      <left/>
      <right style="thin">
        <color rgb="FFBFC9D9"/>
      </right>
      <top style="medium">
        <color rgb="FF1B3A6B"/>
      </top>
      <bottom style="thin">
        <color rgb="FFBFC9D9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1" fontId="1" fillId="0" borderId="7" xfId="0" applyNumberFormat="1" applyFont="1" applyBorder="1" applyAlignment="1">
      <alignment horizontal="center" vertical="top" wrapText="1"/>
    </xf>
    <xf numFmtId="1" fontId="1" fillId="0" borderId="8" xfId="0" applyNumberFormat="1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164" fontId="1" fillId="0" borderId="0" xfId="0" applyNumberFormat="1" applyFont="1" applyBorder="1" applyAlignment="1">
      <alignment horizontal="center" vertical="top" wrapText="1"/>
    </xf>
    <xf numFmtId="164" fontId="1" fillId="0" borderId="5" xfId="0" applyNumberFormat="1" applyFont="1" applyBorder="1" applyAlignment="1">
      <alignment horizontal="center" vertical="top" wrapText="1"/>
    </xf>
    <xf numFmtId="1" fontId="1" fillId="0" borderId="12" xfId="0" applyNumberFormat="1" applyFont="1" applyBorder="1" applyAlignment="1">
      <alignment horizontal="center" vertical="top" wrapText="1"/>
    </xf>
    <xf numFmtId="0" fontId="1" fillId="0" borderId="13" xfId="0" applyFont="1" applyBorder="1" applyAlignment="1">
      <alignment vertical="top" wrapText="1"/>
    </xf>
    <xf numFmtId="0" fontId="1" fillId="0" borderId="13" xfId="0" applyFont="1" applyBorder="1" applyAlignment="1">
      <alignment horizontal="center" vertical="top" wrapText="1"/>
    </xf>
    <xf numFmtId="164" fontId="1" fillId="0" borderId="13" xfId="0" applyNumberFormat="1" applyFont="1" applyBorder="1" applyAlignment="1">
      <alignment horizontal="center" vertical="top" wrapText="1"/>
    </xf>
    <xf numFmtId="0" fontId="1" fillId="0" borderId="14" xfId="0" applyFont="1" applyBorder="1" applyAlignment="1">
      <alignment vertical="top" wrapText="1"/>
    </xf>
    <xf numFmtId="0" fontId="2" fillId="3" borderId="13" xfId="0" applyFont="1" applyFill="1" applyBorder="1" applyAlignment="1">
      <alignment vertical="top" wrapText="1"/>
    </xf>
    <xf numFmtId="0" fontId="2" fillId="3" borderId="0" xfId="0" applyFont="1" applyFill="1" applyBorder="1" applyAlignment="1">
      <alignment vertical="top" wrapText="1"/>
    </xf>
    <xf numFmtId="1" fontId="1" fillId="4" borderId="7" xfId="0" applyNumberFormat="1" applyFont="1" applyFill="1" applyBorder="1" applyAlignment="1">
      <alignment horizontal="center" vertical="top" wrapText="1"/>
    </xf>
    <xf numFmtId="0" fontId="1" fillId="4" borderId="0" xfId="0" applyFont="1" applyFill="1" applyBorder="1" applyAlignment="1">
      <alignment vertical="top" wrapText="1"/>
    </xf>
    <xf numFmtId="0" fontId="1" fillId="4" borderId="0" xfId="0" applyFont="1" applyFill="1" applyBorder="1" applyAlignment="1">
      <alignment horizontal="center" vertical="top" wrapText="1"/>
    </xf>
    <xf numFmtId="164" fontId="1" fillId="4" borderId="0" xfId="0" applyNumberFormat="1" applyFont="1" applyFill="1" applyBorder="1" applyAlignment="1">
      <alignment horizontal="center" vertical="top" wrapText="1"/>
    </xf>
    <xf numFmtId="0" fontId="1" fillId="4" borderId="10" xfId="0" applyFont="1" applyFill="1" applyBorder="1" applyAlignment="1">
      <alignment vertical="top" wrapText="1"/>
    </xf>
    <xf numFmtId="1" fontId="1" fillId="4" borderId="12" xfId="0" applyNumberFormat="1" applyFont="1" applyFill="1" applyBorder="1" applyAlignment="1">
      <alignment horizontal="center" vertical="top" wrapText="1"/>
    </xf>
    <xf numFmtId="0" fontId="1" fillId="4" borderId="13" xfId="0" applyFont="1" applyFill="1" applyBorder="1" applyAlignment="1">
      <alignment vertical="top" wrapText="1"/>
    </xf>
    <xf numFmtId="0" fontId="1" fillId="4" borderId="13" xfId="0" applyFont="1" applyFill="1" applyBorder="1" applyAlignment="1">
      <alignment horizontal="center" vertical="top" wrapText="1"/>
    </xf>
    <xf numFmtId="164" fontId="1" fillId="4" borderId="13" xfId="0" applyNumberFormat="1" applyFont="1" applyFill="1" applyBorder="1" applyAlignment="1">
      <alignment horizontal="center" vertical="top" wrapText="1"/>
    </xf>
    <xf numFmtId="0" fontId="1" fillId="4" borderId="14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9" xfId="0" applyFont="1" applyFill="1" applyBorder="1" applyAlignment="1">
      <alignment vertical="top" wrapText="1"/>
    </xf>
    <xf numFmtId="0" fontId="1" fillId="5" borderId="0" xfId="0" applyFont="1" applyFill="1" applyBorder="1" applyAlignment="1">
      <alignment vertical="top" wrapText="1"/>
    </xf>
    <xf numFmtId="0" fontId="1" fillId="5" borderId="10" xfId="0" applyFont="1" applyFill="1" applyBorder="1" applyAlignment="1">
      <alignment vertical="top" wrapText="1"/>
    </xf>
    <xf numFmtId="0" fontId="1" fillId="5" borderId="5" xfId="0" applyFont="1" applyFill="1" applyBorder="1" applyAlignment="1">
      <alignment vertical="top" wrapText="1"/>
    </xf>
    <xf numFmtId="0" fontId="1" fillId="5" borderId="11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3" fontId="2" fillId="3" borderId="16" xfId="0" applyNumberFormat="1" applyFont="1" applyFill="1" applyBorder="1" applyAlignment="1">
      <alignment horizontal="center" vertical="center"/>
    </xf>
    <xf numFmtId="165" fontId="2" fillId="3" borderId="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164" fontId="1" fillId="4" borderId="0" xfId="0" applyNumberFormat="1" applyFont="1" applyFill="1" applyBorder="1" applyAlignment="1">
      <alignment horizontal="center" vertical="center"/>
    </xf>
    <xf numFmtId="3" fontId="1" fillId="4" borderId="0" xfId="0" applyNumberFormat="1" applyFont="1" applyFill="1" applyBorder="1" applyAlignment="1">
      <alignment horizontal="center" vertical="center"/>
    </xf>
    <xf numFmtId="165" fontId="1" fillId="4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color rgb="FF107C10"/>
      </font>
      <fill>
        <patternFill patternType="solid">
          <fgColor indexed="64"/>
          <bgColor rgb="FFDFF6DD"/>
        </patternFill>
      </fill>
    </dxf>
    <dxf>
      <font>
        <b/>
        <i val="0"/>
        <color rgb="FFA4262C"/>
      </font>
      <fill>
        <patternFill patternType="solid">
          <fgColor indexed="64"/>
          <bgColor rgb="FFFDE7E9"/>
        </patternFill>
      </fill>
    </dxf>
    <dxf>
      <font>
        <b/>
        <i val="0"/>
        <color rgb="FF6E6E6E"/>
      </font>
      <fill>
        <patternFill patternType="solid">
          <fgColor indexed="64"/>
          <bgColor rgb="FFD9D9D9"/>
        </patternFill>
      </fill>
    </dxf>
    <dxf>
      <font>
        <b/>
        <i val="0"/>
        <color rgb="FFA4262C"/>
      </font>
      <fill>
        <patternFill patternType="solid">
          <fgColor indexed="64"/>
          <bgColor rgb="FFFDE7E9"/>
        </patternFill>
      </fill>
    </dxf>
    <dxf>
      <font>
        <b/>
        <i val="0"/>
        <color rgb="FF107C10"/>
      </font>
      <fill>
        <patternFill patternType="solid">
          <fgColor indexed="64"/>
          <bgColor rgb="FFDFF6DD"/>
        </patternFill>
      </fill>
    </dxf>
    <dxf>
      <font>
        <b/>
        <i val="0"/>
        <color rgb="FF7A5A00"/>
      </font>
      <fill>
        <patternFill patternType="solid">
          <fgColor indexed="64"/>
          <bgColor rgb="FFFFF4CE"/>
        </patternFill>
      </fill>
    </dxf>
    <dxf>
      <font>
        <b/>
        <i val="0"/>
        <color rgb="FF404040"/>
      </font>
      <fill>
        <patternFill patternType="solid">
          <fgColor indexed="64"/>
          <bgColor rgb="FFEDEDE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24.7109375" customWidth="1"/>
    <col min="4" max="4" width="62.7109375" customWidth="1"/>
    <col min="5" max="5" width="12.7109375" customWidth="1"/>
    <col min="6" max="6" width="17.7109375" customWidth="1"/>
    <col min="7" max="7" width="14.7109375" customWidth="1"/>
    <col min="8" max="8" width="48.7109375" customWidth="1"/>
  </cols>
  <sheetData>
    <row r="1" spans="1:8" ht="27.7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0" customHeight="1">
      <c r="A2" s="3" t="s">
        <v>1</v>
      </c>
      <c r="B2" s="3"/>
      <c r="C2" s="3"/>
      <c r="D2" s="3"/>
      <c r="E2" s="3"/>
      <c r="F2" s="3"/>
      <c r="G2" s="3"/>
      <c r="H2" s="3"/>
    </row>
    <row r="3" spans="1:8" ht="21.75" customHeight="1">
      <c r="A3" s="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8" t="s">
        <v>9</v>
      </c>
    </row>
    <row r="4" spans="1:8" ht="130.5">
      <c r="A4" s="19">
        <v>1</v>
      </c>
      <c r="B4" s="24" t="s">
        <v>10</v>
      </c>
      <c r="C4" s="20" t="s">
        <v>11</v>
      </c>
      <c r="D4" s="20" t="s">
        <v>12</v>
      </c>
      <c r="E4" s="21" t="s">
        <v>13</v>
      </c>
      <c r="F4" s="22">
        <v>46321</v>
      </c>
      <c r="G4" s="21" t="s">
        <v>14</v>
      </c>
      <c r="H4" s="23" t="s">
        <v>15</v>
      </c>
    </row>
    <row r="5" spans="1:8" ht="232.5">
      <c r="A5" s="13">
        <v>2</v>
      </c>
      <c r="B5" s="25" t="s">
        <v>10</v>
      </c>
      <c r="C5" s="6" t="s">
        <v>11</v>
      </c>
      <c r="D5" s="6" t="s">
        <v>16</v>
      </c>
      <c r="E5" s="15" t="s">
        <v>17</v>
      </c>
      <c r="F5" s="17">
        <v>46321</v>
      </c>
      <c r="G5" s="15" t="s">
        <v>14</v>
      </c>
      <c r="H5" s="11" t="s">
        <v>18</v>
      </c>
    </row>
    <row r="6" spans="1:8" ht="159">
      <c r="A6" s="13">
        <v>3</v>
      </c>
      <c r="B6" s="25" t="s">
        <v>10</v>
      </c>
      <c r="C6" s="6" t="s">
        <v>11</v>
      </c>
      <c r="D6" s="6" t="s">
        <v>19</v>
      </c>
      <c r="E6" s="15" t="s">
        <v>13</v>
      </c>
      <c r="F6" s="17">
        <v>46321</v>
      </c>
      <c r="G6" s="15" t="s">
        <v>14</v>
      </c>
      <c r="H6" s="11" t="s">
        <v>20</v>
      </c>
    </row>
    <row r="7" spans="1:8" ht="130.5">
      <c r="A7" s="13">
        <v>4</v>
      </c>
      <c r="B7" s="25" t="s">
        <v>10</v>
      </c>
      <c r="C7" s="6" t="s">
        <v>11</v>
      </c>
      <c r="D7" s="6" t="s">
        <v>21</v>
      </c>
      <c r="E7" s="15" t="s">
        <v>13</v>
      </c>
      <c r="F7" s="17">
        <v>46321</v>
      </c>
      <c r="G7" s="15" t="s">
        <v>14</v>
      </c>
      <c r="H7" s="11" t="s">
        <v>22</v>
      </c>
    </row>
    <row r="8" spans="1:8" ht="188.25">
      <c r="A8" s="13">
        <v>5</v>
      </c>
      <c r="B8" s="25" t="s">
        <v>10</v>
      </c>
      <c r="C8" s="6" t="s">
        <v>11</v>
      </c>
      <c r="D8" s="6" t="s">
        <v>23</v>
      </c>
      <c r="E8" s="15" t="s">
        <v>17</v>
      </c>
      <c r="F8" s="17">
        <v>46321</v>
      </c>
      <c r="G8" s="15" t="s">
        <v>14</v>
      </c>
      <c r="H8" s="11" t="s">
        <v>24</v>
      </c>
    </row>
    <row r="9" spans="1:8" ht="173.25">
      <c r="A9" s="13">
        <v>6</v>
      </c>
      <c r="B9" s="25" t="s">
        <v>10</v>
      </c>
      <c r="C9" s="6" t="s">
        <v>11</v>
      </c>
      <c r="D9" s="6" t="s">
        <v>25</v>
      </c>
      <c r="E9" s="15" t="s">
        <v>17</v>
      </c>
      <c r="F9" s="17">
        <v>46321</v>
      </c>
      <c r="G9" s="15" t="s">
        <v>14</v>
      </c>
      <c r="H9" s="11" t="s">
        <v>26</v>
      </c>
    </row>
    <row r="10" spans="1:8" ht="290.25">
      <c r="A10" s="13">
        <v>7</v>
      </c>
      <c r="B10" s="25" t="s">
        <v>10</v>
      </c>
      <c r="C10" s="6" t="s">
        <v>27</v>
      </c>
      <c r="D10" s="6" t="s">
        <v>28</v>
      </c>
      <c r="E10" s="15" t="s">
        <v>13</v>
      </c>
      <c r="F10" s="17">
        <v>46321</v>
      </c>
      <c r="G10" s="15" t="s">
        <v>14</v>
      </c>
      <c r="H10" s="11" t="s">
        <v>29</v>
      </c>
    </row>
    <row r="11" spans="1:8" ht="318.75">
      <c r="A11" s="13">
        <v>8</v>
      </c>
      <c r="B11" s="25" t="s">
        <v>10</v>
      </c>
      <c r="C11" s="6" t="s">
        <v>30</v>
      </c>
      <c r="D11" s="6" t="s">
        <v>31</v>
      </c>
      <c r="E11" s="15" t="s">
        <v>32</v>
      </c>
      <c r="F11" s="17">
        <v>46321</v>
      </c>
      <c r="G11" s="15" t="s">
        <v>14</v>
      </c>
      <c r="H11" s="11" t="s">
        <v>33</v>
      </c>
    </row>
    <row r="12" spans="1:8" ht="318.75">
      <c r="A12" s="13">
        <v>9</v>
      </c>
      <c r="B12" s="25" t="s">
        <v>10</v>
      </c>
      <c r="C12" s="6" t="s">
        <v>30</v>
      </c>
      <c r="D12" s="6" t="s">
        <v>34</v>
      </c>
      <c r="E12" s="15" t="s">
        <v>17</v>
      </c>
      <c r="F12" s="17">
        <v>46321</v>
      </c>
      <c r="G12" s="15" t="s">
        <v>14</v>
      </c>
      <c r="H12" s="11" t="s">
        <v>35</v>
      </c>
    </row>
    <row r="13" spans="1:8" ht="188.25">
      <c r="A13" s="13">
        <v>10</v>
      </c>
      <c r="B13" s="25" t="s">
        <v>10</v>
      </c>
      <c r="C13" s="6" t="s">
        <v>27</v>
      </c>
      <c r="D13" s="6" t="s">
        <v>36</v>
      </c>
      <c r="E13" s="15" t="s">
        <v>13</v>
      </c>
      <c r="F13" s="17">
        <v>46321</v>
      </c>
      <c r="G13" s="15" t="s">
        <v>14</v>
      </c>
      <c r="H13" s="11" t="s">
        <v>37</v>
      </c>
    </row>
    <row r="14" spans="1:8" ht="115.5">
      <c r="A14" s="31">
        <v>11</v>
      </c>
      <c r="B14" s="24" t="s">
        <v>38</v>
      </c>
      <c r="C14" s="32" t="s">
        <v>39</v>
      </c>
      <c r="D14" s="32" t="s">
        <v>40</v>
      </c>
      <c r="E14" s="33" t="s">
        <v>13</v>
      </c>
      <c r="F14" s="34">
        <v>46322</v>
      </c>
      <c r="G14" s="33" t="s">
        <v>14</v>
      </c>
      <c r="H14" s="35" t="s">
        <v>41</v>
      </c>
    </row>
    <row r="15" spans="1:8" ht="115.5">
      <c r="A15" s="26">
        <v>12</v>
      </c>
      <c r="B15" s="25" t="s">
        <v>38</v>
      </c>
      <c r="C15" s="27" t="s">
        <v>39</v>
      </c>
      <c r="D15" s="27" t="s">
        <v>42</v>
      </c>
      <c r="E15" s="28" t="s">
        <v>17</v>
      </c>
      <c r="F15" s="29">
        <v>46322</v>
      </c>
      <c r="G15" s="28" t="s">
        <v>14</v>
      </c>
      <c r="H15" s="30" t="s">
        <v>41</v>
      </c>
    </row>
    <row r="16" spans="1:8" ht="130.5">
      <c r="A16" s="26">
        <v>13</v>
      </c>
      <c r="B16" s="25" t="s">
        <v>38</v>
      </c>
      <c r="C16" s="27" t="s">
        <v>39</v>
      </c>
      <c r="D16" s="27" t="s">
        <v>43</v>
      </c>
      <c r="E16" s="28" t="s">
        <v>17</v>
      </c>
      <c r="F16" s="29">
        <v>46322</v>
      </c>
      <c r="G16" s="28" t="s">
        <v>14</v>
      </c>
      <c r="H16" s="30" t="s">
        <v>41</v>
      </c>
    </row>
    <row r="17" spans="1:8" ht="144.75">
      <c r="A17" s="26">
        <v>14</v>
      </c>
      <c r="B17" s="25" t="s">
        <v>38</v>
      </c>
      <c r="C17" s="27" t="s">
        <v>39</v>
      </c>
      <c r="D17" s="27" t="s">
        <v>44</v>
      </c>
      <c r="E17" s="28" t="s">
        <v>17</v>
      </c>
      <c r="F17" s="29">
        <v>46322</v>
      </c>
      <c r="G17" s="28" t="s">
        <v>14</v>
      </c>
      <c r="H17" s="30" t="s">
        <v>41</v>
      </c>
    </row>
    <row r="18" spans="1:8" ht="115.5">
      <c r="A18" s="26">
        <v>15</v>
      </c>
      <c r="B18" s="25" t="s">
        <v>38</v>
      </c>
      <c r="C18" s="27" t="s">
        <v>39</v>
      </c>
      <c r="D18" s="27" t="s">
        <v>45</v>
      </c>
      <c r="E18" s="28" t="s">
        <v>17</v>
      </c>
      <c r="F18" s="29">
        <v>46322</v>
      </c>
      <c r="G18" s="28" t="s">
        <v>14</v>
      </c>
      <c r="H18" s="30" t="s">
        <v>41</v>
      </c>
    </row>
    <row r="19" spans="1:8" ht="130.5">
      <c r="A19" s="26">
        <v>16</v>
      </c>
      <c r="B19" s="25" t="s">
        <v>38</v>
      </c>
      <c r="C19" s="27" t="s">
        <v>39</v>
      </c>
      <c r="D19" s="27" t="s">
        <v>46</v>
      </c>
      <c r="E19" s="28" t="s">
        <v>17</v>
      </c>
      <c r="F19" s="29">
        <v>46322</v>
      </c>
      <c r="G19" s="28" t="s">
        <v>14</v>
      </c>
      <c r="H19" s="30" t="s">
        <v>41</v>
      </c>
    </row>
    <row r="20" spans="1:8" ht="144.75">
      <c r="A20" s="26">
        <v>17</v>
      </c>
      <c r="B20" s="25" t="s">
        <v>38</v>
      </c>
      <c r="C20" s="27" t="s">
        <v>39</v>
      </c>
      <c r="D20" s="27" t="s">
        <v>47</v>
      </c>
      <c r="E20" s="28" t="s">
        <v>13</v>
      </c>
      <c r="F20" s="29">
        <v>46322</v>
      </c>
      <c r="G20" s="28" t="s">
        <v>14</v>
      </c>
      <c r="H20" s="30" t="s">
        <v>48</v>
      </c>
    </row>
    <row r="21" spans="1:8" ht="101.25">
      <c r="A21" s="26">
        <v>18</v>
      </c>
      <c r="B21" s="25" t="s">
        <v>38</v>
      </c>
      <c r="C21" s="27" t="s">
        <v>39</v>
      </c>
      <c r="D21" s="27" t="s">
        <v>49</v>
      </c>
      <c r="E21" s="28" t="s">
        <v>13</v>
      </c>
      <c r="F21" s="29">
        <v>46322</v>
      </c>
      <c r="G21" s="28" t="s">
        <v>14</v>
      </c>
      <c r="H21" s="30" t="s">
        <v>50</v>
      </c>
    </row>
    <row r="22" spans="1:8" ht="144.75">
      <c r="A22" s="26">
        <v>19</v>
      </c>
      <c r="B22" s="25" t="s">
        <v>38</v>
      </c>
      <c r="C22" s="27" t="s">
        <v>39</v>
      </c>
      <c r="D22" s="27" t="s">
        <v>51</v>
      </c>
      <c r="E22" s="28" t="s">
        <v>13</v>
      </c>
      <c r="F22" s="29">
        <v>46322</v>
      </c>
      <c r="G22" s="28" t="s">
        <v>14</v>
      </c>
      <c r="H22" s="30" t="s">
        <v>52</v>
      </c>
    </row>
    <row r="23" spans="1:8" ht="144.75">
      <c r="A23" s="26">
        <v>20</v>
      </c>
      <c r="B23" s="25" t="s">
        <v>38</v>
      </c>
      <c r="C23" s="27" t="s">
        <v>39</v>
      </c>
      <c r="D23" s="27" t="s">
        <v>53</v>
      </c>
      <c r="E23" s="28" t="s">
        <v>13</v>
      </c>
      <c r="F23" s="29">
        <v>46322</v>
      </c>
      <c r="G23" s="28" t="s">
        <v>14</v>
      </c>
      <c r="H23" s="30" t="s">
        <v>54</v>
      </c>
    </row>
    <row r="24" spans="1:8" ht="144.75">
      <c r="A24" s="26">
        <v>21</v>
      </c>
      <c r="B24" s="25" t="s">
        <v>38</v>
      </c>
      <c r="C24" s="27" t="s">
        <v>39</v>
      </c>
      <c r="D24" s="27" t="s">
        <v>55</v>
      </c>
      <c r="E24" s="28" t="s">
        <v>13</v>
      </c>
      <c r="F24" s="29">
        <v>46322</v>
      </c>
      <c r="G24" s="28" t="s">
        <v>14</v>
      </c>
      <c r="H24" s="30" t="s">
        <v>56</v>
      </c>
    </row>
    <row r="25" spans="1:8" ht="130.5">
      <c r="A25" s="26">
        <v>22</v>
      </c>
      <c r="B25" s="25" t="s">
        <v>38</v>
      </c>
      <c r="C25" s="27" t="s">
        <v>39</v>
      </c>
      <c r="D25" s="27" t="s">
        <v>57</v>
      </c>
      <c r="E25" s="28" t="s">
        <v>13</v>
      </c>
      <c r="F25" s="29">
        <v>46322</v>
      </c>
      <c r="G25" s="28" t="s">
        <v>14</v>
      </c>
      <c r="H25" s="30" t="s">
        <v>58</v>
      </c>
    </row>
    <row r="26" spans="1:8" ht="188.25">
      <c r="A26" s="26">
        <v>23</v>
      </c>
      <c r="B26" s="25" t="s">
        <v>38</v>
      </c>
      <c r="C26" s="27" t="s">
        <v>39</v>
      </c>
      <c r="D26" s="27" t="s">
        <v>59</v>
      </c>
      <c r="E26" s="28" t="s">
        <v>13</v>
      </c>
      <c r="F26" s="29">
        <v>46322</v>
      </c>
      <c r="G26" s="28" t="s">
        <v>14</v>
      </c>
      <c r="H26" s="30" t="s">
        <v>58</v>
      </c>
    </row>
    <row r="27" spans="1:8" ht="87">
      <c r="A27" s="26">
        <v>24</v>
      </c>
      <c r="B27" s="25" t="s">
        <v>38</v>
      </c>
      <c r="C27" s="27" t="s">
        <v>39</v>
      </c>
      <c r="D27" s="27" t="s">
        <v>60</v>
      </c>
      <c r="E27" s="28" t="s">
        <v>13</v>
      </c>
      <c r="F27" s="29">
        <v>46322</v>
      </c>
      <c r="G27" s="28" t="s">
        <v>14</v>
      </c>
      <c r="H27" s="30" t="s">
        <v>58</v>
      </c>
    </row>
    <row r="28" spans="1:8" ht="188.25">
      <c r="A28" s="26">
        <v>25</v>
      </c>
      <c r="B28" s="25" t="s">
        <v>38</v>
      </c>
      <c r="C28" s="27" t="s">
        <v>39</v>
      </c>
      <c r="D28" s="27" t="s">
        <v>61</v>
      </c>
      <c r="E28" s="28" t="s">
        <v>17</v>
      </c>
      <c r="F28" s="29">
        <v>46322</v>
      </c>
      <c r="G28" s="28" t="s">
        <v>14</v>
      </c>
      <c r="H28" s="30" t="s">
        <v>62</v>
      </c>
    </row>
    <row r="29" spans="1:8" ht="159">
      <c r="A29" s="26">
        <v>26</v>
      </c>
      <c r="B29" s="25" t="s">
        <v>38</v>
      </c>
      <c r="C29" s="27" t="s">
        <v>39</v>
      </c>
      <c r="D29" s="27" t="s">
        <v>63</v>
      </c>
      <c r="E29" s="28" t="s">
        <v>17</v>
      </c>
      <c r="F29" s="29">
        <v>46322</v>
      </c>
      <c r="G29" s="28" t="s">
        <v>14</v>
      </c>
      <c r="H29" s="30" t="s">
        <v>64</v>
      </c>
    </row>
    <row r="30" spans="1:8" ht="159">
      <c r="A30" s="26">
        <v>27</v>
      </c>
      <c r="B30" s="25" t="s">
        <v>38</v>
      </c>
      <c r="C30" s="27" t="s">
        <v>39</v>
      </c>
      <c r="D30" s="27" t="s">
        <v>65</v>
      </c>
      <c r="E30" s="28" t="s">
        <v>17</v>
      </c>
      <c r="F30" s="29">
        <v>46322</v>
      </c>
      <c r="G30" s="28" t="s">
        <v>14</v>
      </c>
      <c r="H30" s="30" t="s">
        <v>66</v>
      </c>
    </row>
    <row r="31" spans="1:8" ht="159">
      <c r="A31" s="26">
        <v>28</v>
      </c>
      <c r="B31" s="25" t="s">
        <v>38</v>
      </c>
      <c r="C31" s="27" t="s">
        <v>39</v>
      </c>
      <c r="D31" s="27" t="s">
        <v>67</v>
      </c>
      <c r="E31" s="28" t="s">
        <v>32</v>
      </c>
      <c r="F31" s="29">
        <v>46322</v>
      </c>
      <c r="G31" s="28" t="s">
        <v>14</v>
      </c>
      <c r="H31" s="30" t="s">
        <v>68</v>
      </c>
    </row>
    <row r="32" spans="1:8" ht="130.5">
      <c r="A32" s="26">
        <v>29</v>
      </c>
      <c r="B32" s="25" t="s">
        <v>38</v>
      </c>
      <c r="C32" s="27" t="s">
        <v>39</v>
      </c>
      <c r="D32" s="27" t="s">
        <v>69</v>
      </c>
      <c r="E32" s="28" t="s">
        <v>32</v>
      </c>
      <c r="F32" s="29">
        <v>46322</v>
      </c>
      <c r="G32" s="28" t="s">
        <v>14</v>
      </c>
      <c r="H32" s="30" t="s">
        <v>70</v>
      </c>
    </row>
    <row r="33" spans="1:8" ht="159">
      <c r="A33" s="19">
        <v>30</v>
      </c>
      <c r="B33" s="24" t="s">
        <v>71</v>
      </c>
      <c r="C33" s="20" t="s">
        <v>72</v>
      </c>
      <c r="D33" s="20" t="s">
        <v>73</v>
      </c>
      <c r="E33" s="21" t="s">
        <v>13</v>
      </c>
      <c r="F33" s="22">
        <v>46324</v>
      </c>
      <c r="G33" s="21" t="s">
        <v>14</v>
      </c>
      <c r="H33" s="23" t="s">
        <v>74</v>
      </c>
    </row>
    <row r="34" spans="1:8" ht="246.75">
      <c r="A34" s="13">
        <v>31</v>
      </c>
      <c r="B34" s="25" t="s">
        <v>71</v>
      </c>
      <c r="C34" s="6" t="s">
        <v>72</v>
      </c>
      <c r="D34" s="6" t="s">
        <v>75</v>
      </c>
      <c r="E34" s="15" t="s">
        <v>17</v>
      </c>
      <c r="F34" s="17">
        <v>46324</v>
      </c>
      <c r="G34" s="15" t="s">
        <v>14</v>
      </c>
      <c r="H34" s="11" t="s">
        <v>76</v>
      </c>
    </row>
    <row r="35" spans="1:8" ht="290.25">
      <c r="A35" s="13">
        <v>32</v>
      </c>
      <c r="B35" s="25" t="s">
        <v>71</v>
      </c>
      <c r="C35" s="6" t="s">
        <v>72</v>
      </c>
      <c r="D35" s="6" t="s">
        <v>77</v>
      </c>
      <c r="E35" s="15" t="s">
        <v>17</v>
      </c>
      <c r="F35" s="17">
        <v>46324</v>
      </c>
      <c r="G35" s="15" t="s">
        <v>14</v>
      </c>
      <c r="H35" s="11" t="s">
        <v>78</v>
      </c>
    </row>
    <row r="36" spans="1:8" ht="318.75">
      <c r="A36" s="13">
        <v>33</v>
      </c>
      <c r="B36" s="25" t="s">
        <v>71</v>
      </c>
      <c r="C36" s="6" t="s">
        <v>72</v>
      </c>
      <c r="D36" s="6" t="s">
        <v>79</v>
      </c>
      <c r="E36" s="15" t="s">
        <v>32</v>
      </c>
      <c r="F36" s="17">
        <v>46324</v>
      </c>
      <c r="G36" s="15" t="s">
        <v>14</v>
      </c>
      <c r="H36" s="11" t="s">
        <v>80</v>
      </c>
    </row>
    <row r="37" spans="1:8" ht="290.25">
      <c r="A37" s="13">
        <v>34</v>
      </c>
      <c r="B37" s="25" t="s">
        <v>71</v>
      </c>
      <c r="C37" s="6" t="s">
        <v>72</v>
      </c>
      <c r="D37" s="6" t="s">
        <v>81</v>
      </c>
      <c r="E37" s="15" t="s">
        <v>17</v>
      </c>
      <c r="F37" s="17">
        <v>46324</v>
      </c>
      <c r="G37" s="15" t="s">
        <v>14</v>
      </c>
      <c r="H37" s="11" t="s">
        <v>82</v>
      </c>
    </row>
    <row r="38" spans="1:8" ht="202.5">
      <c r="A38" s="13">
        <v>35</v>
      </c>
      <c r="B38" s="25" t="s">
        <v>71</v>
      </c>
      <c r="C38" s="6" t="s">
        <v>72</v>
      </c>
      <c r="D38" s="6" t="s">
        <v>83</v>
      </c>
      <c r="E38" s="15" t="s">
        <v>17</v>
      </c>
      <c r="F38" s="17">
        <v>46324</v>
      </c>
      <c r="G38" s="15" t="s">
        <v>14</v>
      </c>
      <c r="H38" s="11" t="s">
        <v>84</v>
      </c>
    </row>
    <row r="39" spans="1:8" ht="130.5">
      <c r="A39" s="13">
        <v>36</v>
      </c>
      <c r="B39" s="25" t="s">
        <v>71</v>
      </c>
      <c r="C39" s="6" t="s">
        <v>85</v>
      </c>
      <c r="D39" s="6" t="s">
        <v>86</v>
      </c>
      <c r="E39" s="15" t="s">
        <v>32</v>
      </c>
      <c r="F39" s="17">
        <v>46324</v>
      </c>
      <c r="G39" s="15" t="s">
        <v>14</v>
      </c>
      <c r="H39" s="11" t="s">
        <v>87</v>
      </c>
    </row>
    <row r="40" spans="1:8" ht="202.5">
      <c r="A40" s="13">
        <v>37</v>
      </c>
      <c r="B40" s="25" t="s">
        <v>71</v>
      </c>
      <c r="C40" s="6" t="s">
        <v>85</v>
      </c>
      <c r="D40" s="6" t="s">
        <v>88</v>
      </c>
      <c r="E40" s="15" t="s">
        <v>32</v>
      </c>
      <c r="F40" s="17">
        <v>46324</v>
      </c>
      <c r="G40" s="15" t="s">
        <v>14</v>
      </c>
      <c r="H40" s="11" t="s">
        <v>89</v>
      </c>
    </row>
    <row r="41" spans="1:8" ht="115.5">
      <c r="A41" s="13">
        <v>38</v>
      </c>
      <c r="B41" s="25" t="s">
        <v>71</v>
      </c>
      <c r="C41" s="6" t="s">
        <v>85</v>
      </c>
      <c r="D41" s="6" t="s">
        <v>90</v>
      </c>
      <c r="E41" s="15" t="s">
        <v>32</v>
      </c>
      <c r="F41" s="17">
        <v>46324</v>
      </c>
      <c r="G41" s="15" t="s">
        <v>14</v>
      </c>
      <c r="H41" s="11" t="s">
        <v>91</v>
      </c>
    </row>
    <row r="42" spans="1:8" ht="130.5">
      <c r="A42" s="13">
        <v>39</v>
      </c>
      <c r="B42" s="25" t="s">
        <v>71</v>
      </c>
      <c r="C42" s="6" t="s">
        <v>72</v>
      </c>
      <c r="D42" s="6" t="s">
        <v>92</v>
      </c>
      <c r="E42" s="15" t="s">
        <v>13</v>
      </c>
      <c r="F42" s="17">
        <v>46324</v>
      </c>
      <c r="G42" s="15" t="s">
        <v>14</v>
      </c>
      <c r="H42" s="11" t="s">
        <v>93</v>
      </c>
    </row>
    <row r="43" spans="1:8" ht="144.75">
      <c r="A43" s="31">
        <v>40</v>
      </c>
      <c r="B43" s="24" t="s">
        <v>94</v>
      </c>
      <c r="C43" s="32" t="s">
        <v>95</v>
      </c>
      <c r="D43" s="32" t="s">
        <v>96</v>
      </c>
      <c r="E43" s="33" t="s">
        <v>32</v>
      </c>
      <c r="F43" s="34">
        <v>46326</v>
      </c>
      <c r="G43" s="33" t="s">
        <v>14</v>
      </c>
      <c r="H43" s="35" t="s">
        <v>97</v>
      </c>
    </row>
    <row r="44" spans="1:8" ht="87">
      <c r="A44" s="26">
        <v>41</v>
      </c>
      <c r="B44" s="25" t="s">
        <v>94</v>
      </c>
      <c r="C44" s="27" t="s">
        <v>95</v>
      </c>
      <c r="D44" s="27" t="s">
        <v>98</v>
      </c>
      <c r="E44" s="28" t="s">
        <v>32</v>
      </c>
      <c r="F44" s="29">
        <v>46326</v>
      </c>
      <c r="G44" s="28" t="s">
        <v>14</v>
      </c>
      <c r="H44" s="30" t="s">
        <v>99</v>
      </c>
    </row>
    <row r="45" spans="1:8" ht="101.25">
      <c r="A45" s="26">
        <v>42</v>
      </c>
      <c r="B45" s="25" t="s">
        <v>94</v>
      </c>
      <c r="C45" s="27" t="s">
        <v>95</v>
      </c>
      <c r="D45" s="27" t="s">
        <v>100</v>
      </c>
      <c r="E45" s="28" t="s">
        <v>32</v>
      </c>
      <c r="F45" s="29">
        <v>46326</v>
      </c>
      <c r="G45" s="28" t="s">
        <v>14</v>
      </c>
      <c r="H45" s="30" t="s">
        <v>101</v>
      </c>
    </row>
    <row r="46" spans="1:8" ht="188.25">
      <c r="A46" s="26">
        <v>43</v>
      </c>
      <c r="B46" s="25" t="s">
        <v>94</v>
      </c>
      <c r="C46" s="27" t="s">
        <v>102</v>
      </c>
      <c r="D46" s="27" t="s">
        <v>103</v>
      </c>
      <c r="E46" s="28" t="s">
        <v>32</v>
      </c>
      <c r="F46" s="29">
        <v>46326</v>
      </c>
      <c r="G46" s="28" t="s">
        <v>14</v>
      </c>
      <c r="H46" s="30" t="s">
        <v>104</v>
      </c>
    </row>
    <row r="47" spans="1:8" ht="173.25">
      <c r="A47" s="26">
        <v>44</v>
      </c>
      <c r="B47" s="25" t="s">
        <v>94</v>
      </c>
      <c r="C47" s="27" t="s">
        <v>102</v>
      </c>
      <c r="D47" s="27" t="s">
        <v>105</v>
      </c>
      <c r="E47" s="28" t="s">
        <v>17</v>
      </c>
      <c r="F47" s="29">
        <v>46326</v>
      </c>
      <c r="G47" s="28" t="s">
        <v>14</v>
      </c>
      <c r="H47" s="30" t="s">
        <v>106</v>
      </c>
    </row>
    <row r="48" spans="1:8" ht="159">
      <c r="A48" s="26">
        <v>45</v>
      </c>
      <c r="B48" s="25" t="s">
        <v>94</v>
      </c>
      <c r="C48" s="27" t="s">
        <v>102</v>
      </c>
      <c r="D48" s="27" t="s">
        <v>107</v>
      </c>
      <c r="E48" s="28" t="s">
        <v>32</v>
      </c>
      <c r="F48" s="29">
        <v>46326</v>
      </c>
      <c r="G48" s="28" t="s">
        <v>14</v>
      </c>
      <c r="H48" s="30" t="s">
        <v>108</v>
      </c>
    </row>
    <row r="49" spans="1:8" ht="173.25">
      <c r="A49" s="26">
        <v>46</v>
      </c>
      <c r="B49" s="25" t="s">
        <v>94</v>
      </c>
      <c r="C49" s="27" t="s">
        <v>102</v>
      </c>
      <c r="D49" s="27" t="s">
        <v>109</v>
      </c>
      <c r="E49" s="28" t="s">
        <v>32</v>
      </c>
      <c r="F49" s="29">
        <v>46326</v>
      </c>
      <c r="G49" s="28" t="s">
        <v>14</v>
      </c>
      <c r="H49" s="30" t="s">
        <v>110</v>
      </c>
    </row>
    <row r="50" spans="1:8" ht="159">
      <c r="A50" s="26">
        <v>47</v>
      </c>
      <c r="B50" s="25" t="s">
        <v>94</v>
      </c>
      <c r="C50" s="27" t="s">
        <v>111</v>
      </c>
      <c r="D50" s="27" t="s">
        <v>112</v>
      </c>
      <c r="E50" s="28" t="s">
        <v>32</v>
      </c>
      <c r="F50" s="29">
        <v>46326</v>
      </c>
      <c r="G50" s="28" t="s">
        <v>14</v>
      </c>
      <c r="H50" s="30" t="s">
        <v>113</v>
      </c>
    </row>
    <row r="51" spans="1:8" ht="101.25">
      <c r="A51" s="26">
        <v>48</v>
      </c>
      <c r="B51" s="25" t="s">
        <v>94</v>
      </c>
      <c r="C51" s="27" t="s">
        <v>111</v>
      </c>
      <c r="D51" s="27" t="s">
        <v>114</v>
      </c>
      <c r="E51" s="28" t="s">
        <v>32</v>
      </c>
      <c r="F51" s="29">
        <v>46326</v>
      </c>
      <c r="G51" s="28" t="s">
        <v>14</v>
      </c>
      <c r="H51" s="30" t="s">
        <v>115</v>
      </c>
    </row>
    <row r="52" spans="1:8" ht="409.6">
      <c r="A52" s="19">
        <v>49</v>
      </c>
      <c r="B52" s="24" t="s">
        <v>116</v>
      </c>
      <c r="C52" s="20" t="s">
        <v>117</v>
      </c>
      <c r="D52" s="20" t="s">
        <v>118</v>
      </c>
      <c r="E52" s="21" t="s">
        <v>32</v>
      </c>
      <c r="F52" s="22">
        <v>46328</v>
      </c>
      <c r="G52" s="21" t="s">
        <v>14</v>
      </c>
      <c r="H52" s="23" t="s">
        <v>119</v>
      </c>
    </row>
    <row r="53" spans="1:8" ht="87">
      <c r="A53" s="13">
        <v>50</v>
      </c>
      <c r="B53" s="25" t="s">
        <v>116</v>
      </c>
      <c r="C53" s="6" t="s">
        <v>117</v>
      </c>
      <c r="D53" s="6" t="s">
        <v>120</v>
      </c>
      <c r="E53" s="15" t="s">
        <v>32</v>
      </c>
      <c r="F53" s="17">
        <v>46328</v>
      </c>
      <c r="G53" s="15" t="s">
        <v>14</v>
      </c>
      <c r="H53" s="11" t="s">
        <v>121</v>
      </c>
    </row>
    <row r="54" spans="1:8" ht="173.25">
      <c r="A54" s="13">
        <v>51</v>
      </c>
      <c r="B54" s="25" t="s">
        <v>116</v>
      </c>
      <c r="C54" s="6" t="s">
        <v>122</v>
      </c>
      <c r="D54" s="6" t="s">
        <v>123</v>
      </c>
      <c r="E54" s="15" t="s">
        <v>13</v>
      </c>
      <c r="F54" s="17">
        <v>46328</v>
      </c>
      <c r="G54" s="15" t="s">
        <v>14</v>
      </c>
      <c r="H54" s="11" t="s">
        <v>124</v>
      </c>
    </row>
    <row r="55" spans="1:8" ht="115.5">
      <c r="A55" s="13">
        <v>52</v>
      </c>
      <c r="B55" s="25" t="s">
        <v>116</v>
      </c>
      <c r="C55" s="6" t="s">
        <v>122</v>
      </c>
      <c r="D55" s="6" t="s">
        <v>125</v>
      </c>
      <c r="E55" s="15" t="s">
        <v>17</v>
      </c>
      <c r="F55" s="17">
        <v>46328</v>
      </c>
      <c r="G55" s="15" t="s">
        <v>14</v>
      </c>
      <c r="H55" s="11" t="s">
        <v>126</v>
      </c>
    </row>
    <row r="56" spans="1:8" ht="130.5">
      <c r="A56" s="13">
        <v>53</v>
      </c>
      <c r="B56" s="25" t="s">
        <v>116</v>
      </c>
      <c r="C56" s="6" t="s">
        <v>122</v>
      </c>
      <c r="D56" s="6" t="s">
        <v>127</v>
      </c>
      <c r="E56" s="15" t="s">
        <v>32</v>
      </c>
      <c r="F56" s="17">
        <v>46328</v>
      </c>
      <c r="G56" s="15" t="s">
        <v>14</v>
      </c>
      <c r="H56" s="11" t="s">
        <v>128</v>
      </c>
    </row>
    <row r="57" spans="1:8" ht="159">
      <c r="A57" s="13">
        <v>54</v>
      </c>
      <c r="B57" s="25" t="s">
        <v>116</v>
      </c>
      <c r="C57" s="6" t="s">
        <v>122</v>
      </c>
      <c r="D57" s="6" t="s">
        <v>129</v>
      </c>
      <c r="E57" s="15" t="s">
        <v>17</v>
      </c>
      <c r="F57" s="17">
        <v>46328</v>
      </c>
      <c r="G57" s="15" t="s">
        <v>14</v>
      </c>
      <c r="H57" s="11" t="s">
        <v>130</v>
      </c>
    </row>
    <row r="58" spans="1:8" ht="144.75">
      <c r="A58" s="31">
        <v>55</v>
      </c>
      <c r="B58" s="24" t="s">
        <v>131</v>
      </c>
      <c r="C58" s="32" t="s">
        <v>132</v>
      </c>
      <c r="D58" s="32" t="s">
        <v>133</v>
      </c>
      <c r="E58" s="33" t="s">
        <v>32</v>
      </c>
      <c r="F58" s="34">
        <v>46329</v>
      </c>
      <c r="G58" s="33" t="s">
        <v>14</v>
      </c>
      <c r="H58" s="35" t="s">
        <v>134</v>
      </c>
    </row>
    <row r="59" spans="1:8" ht="101.25">
      <c r="A59" s="26">
        <v>56</v>
      </c>
      <c r="B59" s="25" t="s">
        <v>131</v>
      </c>
      <c r="C59" s="27" t="s">
        <v>132</v>
      </c>
      <c r="D59" s="27" t="s">
        <v>135</v>
      </c>
      <c r="E59" s="28" t="s">
        <v>32</v>
      </c>
      <c r="F59" s="29">
        <v>46329</v>
      </c>
      <c r="G59" s="28" t="s">
        <v>14</v>
      </c>
      <c r="H59" s="30" t="s">
        <v>136</v>
      </c>
    </row>
    <row r="60" spans="1:8" ht="202.5">
      <c r="A60" s="26">
        <v>57</v>
      </c>
      <c r="B60" s="25" t="s">
        <v>131</v>
      </c>
      <c r="C60" s="27" t="s">
        <v>132</v>
      </c>
      <c r="D60" s="27" t="s">
        <v>137</v>
      </c>
      <c r="E60" s="28" t="s">
        <v>32</v>
      </c>
      <c r="F60" s="29">
        <v>46329</v>
      </c>
      <c r="G60" s="28" t="s">
        <v>14</v>
      </c>
      <c r="H60" s="30" t="s">
        <v>138</v>
      </c>
    </row>
    <row r="61" spans="1:8" ht="115.5">
      <c r="A61" s="26">
        <v>58</v>
      </c>
      <c r="B61" s="25" t="s">
        <v>131</v>
      </c>
      <c r="C61" s="27" t="s">
        <v>132</v>
      </c>
      <c r="D61" s="27" t="s">
        <v>139</v>
      </c>
      <c r="E61" s="28" t="s">
        <v>32</v>
      </c>
      <c r="F61" s="29">
        <v>46329</v>
      </c>
      <c r="G61" s="28" t="s">
        <v>14</v>
      </c>
      <c r="H61" s="30" t="s">
        <v>140</v>
      </c>
    </row>
    <row r="62" spans="1:8" ht="173.25">
      <c r="A62" s="19">
        <v>59</v>
      </c>
      <c r="B62" s="24" t="s">
        <v>141</v>
      </c>
      <c r="C62" s="20" t="s">
        <v>142</v>
      </c>
      <c r="D62" s="20" t="s">
        <v>143</v>
      </c>
      <c r="E62" s="21" t="s">
        <v>17</v>
      </c>
      <c r="F62" s="22">
        <v>46336</v>
      </c>
      <c r="G62" s="21" t="s">
        <v>14</v>
      </c>
      <c r="H62" s="23" t="s">
        <v>144</v>
      </c>
    </row>
    <row r="63" spans="1:8" ht="144.75">
      <c r="A63" s="13">
        <v>60</v>
      </c>
      <c r="B63" s="25" t="s">
        <v>141</v>
      </c>
      <c r="C63" s="6" t="s">
        <v>142</v>
      </c>
      <c r="D63" s="6" t="s">
        <v>145</v>
      </c>
      <c r="E63" s="15" t="s">
        <v>17</v>
      </c>
      <c r="F63" s="17">
        <v>46336</v>
      </c>
      <c r="G63" s="15" t="s">
        <v>14</v>
      </c>
      <c r="H63" s="11" t="s">
        <v>146</v>
      </c>
    </row>
    <row r="64" spans="1:8" ht="159">
      <c r="A64" s="13">
        <v>61</v>
      </c>
      <c r="B64" s="25" t="s">
        <v>141</v>
      </c>
      <c r="C64" s="6" t="s">
        <v>147</v>
      </c>
      <c r="D64" s="6" t="s">
        <v>148</v>
      </c>
      <c r="E64" s="15" t="s">
        <v>17</v>
      </c>
      <c r="F64" s="17">
        <v>46336</v>
      </c>
      <c r="G64" s="15" t="s">
        <v>14</v>
      </c>
      <c r="H64" s="11" t="s">
        <v>149</v>
      </c>
    </row>
    <row r="65" spans="1:8" ht="159">
      <c r="A65" s="13">
        <v>62</v>
      </c>
      <c r="B65" s="25" t="s">
        <v>141</v>
      </c>
      <c r="C65" s="6" t="s">
        <v>147</v>
      </c>
      <c r="D65" s="6" t="s">
        <v>150</v>
      </c>
      <c r="E65" s="15" t="s">
        <v>17</v>
      </c>
      <c r="F65" s="17">
        <v>46336</v>
      </c>
      <c r="G65" s="15" t="s">
        <v>14</v>
      </c>
      <c r="H65" s="11" t="s">
        <v>151</v>
      </c>
    </row>
    <row r="66" spans="1:8" ht="159">
      <c r="A66" s="13">
        <v>63</v>
      </c>
      <c r="B66" s="25" t="s">
        <v>141</v>
      </c>
      <c r="C66" s="6" t="s">
        <v>152</v>
      </c>
      <c r="D66" s="6" t="s">
        <v>153</v>
      </c>
      <c r="E66" s="15" t="s">
        <v>17</v>
      </c>
      <c r="F66" s="17">
        <v>46336</v>
      </c>
      <c r="G66" s="15" t="s">
        <v>14</v>
      </c>
      <c r="H66" s="11" t="s">
        <v>154</v>
      </c>
    </row>
    <row r="67" spans="1:8" ht="173.25">
      <c r="A67" s="13">
        <v>64</v>
      </c>
      <c r="B67" s="25" t="s">
        <v>141</v>
      </c>
      <c r="C67" s="6" t="s">
        <v>152</v>
      </c>
      <c r="D67" s="6" t="s">
        <v>155</v>
      </c>
      <c r="E67" s="15" t="s">
        <v>17</v>
      </c>
      <c r="F67" s="17">
        <v>46336</v>
      </c>
      <c r="G67" s="15" t="s">
        <v>14</v>
      </c>
      <c r="H67" s="11" t="s">
        <v>156</v>
      </c>
    </row>
    <row r="68" spans="1:8" ht="318.75">
      <c r="A68" s="14">
        <v>65</v>
      </c>
      <c r="B68" s="36" t="s">
        <v>141</v>
      </c>
      <c r="C68" s="10" t="s">
        <v>157</v>
      </c>
      <c r="D68" s="10" t="s">
        <v>158</v>
      </c>
      <c r="E68" s="16" t="s">
        <v>32</v>
      </c>
      <c r="F68" s="18">
        <v>46336</v>
      </c>
      <c r="G68" s="16" t="s">
        <v>14</v>
      </c>
      <c r="H68" s="12" t="s">
        <v>159</v>
      </c>
    </row>
  </sheetData>
  <mergeCells count="2">
    <mergeCell ref="A1:H1"/>
    <mergeCell ref="A2:H2"/>
  </mergeCells>
  <conditionalFormatting sqref="G4:G200">
    <cfRule type="cellIs" dxfId="6" priority="1" operator="equal">
      <formula>"Not Started"</formula>
    </cfRule>
  </conditionalFormatting>
  <conditionalFormatting sqref="G4:G200">
    <cfRule type="cellIs" dxfId="5" priority="2" operator="equal">
      <formula>"In Progress"</formula>
    </cfRule>
  </conditionalFormatting>
  <conditionalFormatting sqref="G4:G200">
    <cfRule type="cellIs" dxfId="4" priority="3" operator="equal">
      <formula>"Done"</formula>
    </cfRule>
  </conditionalFormatting>
  <conditionalFormatting sqref="G4:G200">
    <cfRule type="cellIs" dxfId="3" priority="4" operator="equal">
      <formula>"Blocked"</formula>
    </cfRule>
  </conditionalFormatting>
  <conditionalFormatting sqref="G4:G200">
    <cfRule type="cellIs" dxfId="2" priority="5" operator="equal">
      <formula>"N/A"</formula>
    </cfRule>
  </conditionalFormatting>
  <dataValidations count="2">
    <dataValidation type="list" allowBlank="1" showInputMessage="1" showErrorMessage="1" errorTitle="Invalid status" error="Choose Not Started, In Progress, Done, Blocked or N/A." sqref="G4:G200" xr:uid="{AF81779A-B917-4D44-B58D-63F222DBB277}">
      <formula1>"""Not Started,In Progress,Done,Blocked,N/A"""</formula1>
    </dataValidation>
    <dataValidation type="list" allowBlank="1" showInputMessage="1" showErrorMessage="1" sqref="E4:E200" xr:uid="{FC52B65B-61F6-48E4-9B86-B76B553F7EF9}">
      <formula1>"""Microsoft,TVA,Joint"""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1E07-B57B-4515-85ED-88382B8BF07E}">
  <dimension ref="A1:F26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44.7109375" customWidth="1"/>
    <col min="2" max="2" width="24.7109375" customWidth="1"/>
    <col min="3" max="3" width="46.7109375" customWidth="1"/>
    <col min="4" max="4" width="40.7109375" customWidth="1"/>
    <col min="5" max="5" width="34.7109375" customWidth="1"/>
    <col min="6" max="6" width="22.7109375" customWidth="1"/>
  </cols>
  <sheetData>
    <row r="1" spans="1:6" ht="27.75" customHeight="1">
      <c r="A1" s="1" t="s">
        <v>160</v>
      </c>
      <c r="B1" s="1"/>
      <c r="C1" s="1"/>
      <c r="D1" s="1"/>
      <c r="E1" s="1"/>
      <c r="F1" s="1"/>
    </row>
    <row r="2" spans="1:6">
      <c r="A2" s="2" t="s">
        <v>161</v>
      </c>
      <c r="B2" s="2"/>
      <c r="C2" s="2"/>
      <c r="D2" s="2"/>
      <c r="E2" s="2"/>
      <c r="F2" s="2"/>
    </row>
    <row r="3" spans="1:6" ht="21.75" customHeight="1">
      <c r="A3" s="4" t="s">
        <v>162</v>
      </c>
      <c r="B3" s="4" t="s">
        <v>163</v>
      </c>
      <c r="C3" s="4" t="s">
        <v>164</v>
      </c>
      <c r="D3" s="4" t="s">
        <v>165</v>
      </c>
      <c r="E3" s="4" t="s">
        <v>166</v>
      </c>
      <c r="F3" s="4" t="s">
        <v>167</v>
      </c>
    </row>
    <row r="4" spans="1:6" ht="72">
      <c r="A4" s="37" t="s">
        <v>168</v>
      </c>
      <c r="B4" s="9" t="s">
        <v>169</v>
      </c>
      <c r="C4" s="9" t="s">
        <v>170</v>
      </c>
      <c r="D4" s="9" t="s">
        <v>171</v>
      </c>
      <c r="E4" s="40"/>
      <c r="F4" s="41"/>
    </row>
    <row r="5" spans="1:6" ht="115.5">
      <c r="A5" s="46" t="s">
        <v>172</v>
      </c>
      <c r="B5" s="27" t="s">
        <v>169</v>
      </c>
      <c r="C5" s="27" t="s">
        <v>173</v>
      </c>
      <c r="D5" s="27" t="s">
        <v>174</v>
      </c>
      <c r="E5" s="42"/>
      <c r="F5" s="43"/>
    </row>
    <row r="6" spans="1:6" ht="87">
      <c r="A6" s="38" t="s">
        <v>175</v>
      </c>
      <c r="B6" s="6" t="s">
        <v>169</v>
      </c>
      <c r="C6" s="6" t="s">
        <v>176</v>
      </c>
      <c r="D6" s="6" t="s">
        <v>171</v>
      </c>
      <c r="E6" s="42"/>
      <c r="F6" s="43"/>
    </row>
    <row r="7" spans="1:6" ht="51.75">
      <c r="A7" s="46" t="s">
        <v>177</v>
      </c>
      <c r="B7" s="27" t="s">
        <v>178</v>
      </c>
      <c r="C7" s="27" t="s">
        <v>179</v>
      </c>
      <c r="D7" s="27" t="s">
        <v>171</v>
      </c>
      <c r="E7" s="42"/>
      <c r="F7" s="43"/>
    </row>
    <row r="8" spans="1:6" ht="87">
      <c r="A8" s="38" t="s">
        <v>180</v>
      </c>
      <c r="B8" s="6" t="s">
        <v>178</v>
      </c>
      <c r="C8" s="6" t="s">
        <v>181</v>
      </c>
      <c r="D8" s="6" t="s">
        <v>182</v>
      </c>
      <c r="E8" s="42"/>
      <c r="F8" s="43"/>
    </row>
    <row r="9" spans="1:6" ht="57.75">
      <c r="A9" s="46" t="s">
        <v>183</v>
      </c>
      <c r="B9" s="27" t="s">
        <v>178</v>
      </c>
      <c r="C9" s="27" t="s">
        <v>184</v>
      </c>
      <c r="D9" s="27" t="s">
        <v>185</v>
      </c>
      <c r="E9" s="42"/>
      <c r="F9" s="43"/>
    </row>
    <row r="10" spans="1:6" ht="87">
      <c r="A10" s="38" t="s">
        <v>186</v>
      </c>
      <c r="B10" s="6" t="s">
        <v>178</v>
      </c>
      <c r="C10" s="6" t="s">
        <v>187</v>
      </c>
      <c r="D10" s="6" t="s">
        <v>188</v>
      </c>
      <c r="E10" s="42"/>
      <c r="F10" s="43"/>
    </row>
    <row r="11" spans="1:6" ht="57.75">
      <c r="A11" s="46" t="s">
        <v>189</v>
      </c>
      <c r="B11" s="27" t="s">
        <v>178</v>
      </c>
      <c r="C11" s="27" t="s">
        <v>190</v>
      </c>
      <c r="D11" s="27" t="s">
        <v>191</v>
      </c>
      <c r="E11" s="42"/>
      <c r="F11" s="43"/>
    </row>
    <row r="12" spans="1:6" ht="72">
      <c r="A12" s="38" t="s">
        <v>192</v>
      </c>
      <c r="B12" s="6" t="s">
        <v>178</v>
      </c>
      <c r="C12" s="6" t="s">
        <v>193</v>
      </c>
      <c r="D12" s="6" t="s">
        <v>194</v>
      </c>
      <c r="E12" s="42"/>
      <c r="F12" s="43"/>
    </row>
    <row r="13" spans="1:6" ht="101.25">
      <c r="A13" s="46" t="s">
        <v>195</v>
      </c>
      <c r="B13" s="27" t="s">
        <v>178</v>
      </c>
      <c r="C13" s="27" t="s">
        <v>196</v>
      </c>
      <c r="D13" s="27" t="s">
        <v>197</v>
      </c>
      <c r="E13" s="42"/>
      <c r="F13" s="43"/>
    </row>
    <row r="14" spans="1:6" ht="101.25">
      <c r="A14" s="38" t="s">
        <v>198</v>
      </c>
      <c r="B14" s="6" t="s">
        <v>178</v>
      </c>
      <c r="C14" s="6" t="s">
        <v>199</v>
      </c>
      <c r="D14" s="6" t="s">
        <v>171</v>
      </c>
      <c r="E14" s="42"/>
      <c r="F14" s="43"/>
    </row>
    <row r="15" spans="1:6" ht="72">
      <c r="A15" s="46" t="s">
        <v>200</v>
      </c>
      <c r="B15" s="27" t="s">
        <v>201</v>
      </c>
      <c r="C15" s="27" t="s">
        <v>202</v>
      </c>
      <c r="D15" s="27" t="s">
        <v>171</v>
      </c>
      <c r="E15" s="42"/>
      <c r="F15" s="43"/>
    </row>
    <row r="16" spans="1:6" ht="87">
      <c r="A16" s="38" t="s">
        <v>203</v>
      </c>
      <c r="B16" s="6" t="s">
        <v>201</v>
      </c>
      <c r="C16" s="6" t="s">
        <v>204</v>
      </c>
      <c r="D16" s="6" t="s">
        <v>171</v>
      </c>
      <c r="E16" s="42"/>
      <c r="F16" s="43"/>
    </row>
    <row r="17" spans="1:6" ht="87">
      <c r="A17" s="46" t="s">
        <v>205</v>
      </c>
      <c r="B17" s="27" t="s">
        <v>201</v>
      </c>
      <c r="C17" s="27" t="s">
        <v>206</v>
      </c>
      <c r="D17" s="27" t="s">
        <v>171</v>
      </c>
      <c r="E17" s="42"/>
      <c r="F17" s="43"/>
    </row>
    <row r="18" spans="1:6" ht="64.5">
      <c r="A18" s="38" t="s">
        <v>207</v>
      </c>
      <c r="B18" s="6" t="s">
        <v>201</v>
      </c>
      <c r="C18" s="6" t="s">
        <v>208</v>
      </c>
      <c r="D18" s="6" t="s">
        <v>171</v>
      </c>
      <c r="E18" s="42"/>
      <c r="F18" s="43"/>
    </row>
    <row r="19" spans="1:6" ht="115.5">
      <c r="A19" s="46" t="s">
        <v>209</v>
      </c>
      <c r="B19" s="27" t="s">
        <v>201</v>
      </c>
      <c r="C19" s="27" t="s">
        <v>210</v>
      </c>
      <c r="D19" s="27" t="s">
        <v>171</v>
      </c>
      <c r="E19" s="42"/>
      <c r="F19" s="43"/>
    </row>
    <row r="20" spans="1:6" ht="43.5">
      <c r="A20" s="38" t="s">
        <v>211</v>
      </c>
      <c r="B20" s="6" t="s">
        <v>201</v>
      </c>
      <c r="C20" s="6" t="s">
        <v>212</v>
      </c>
      <c r="D20" s="6" t="s">
        <v>171</v>
      </c>
      <c r="E20" s="42"/>
      <c r="F20" s="43"/>
    </row>
    <row r="21" spans="1:6" ht="87">
      <c r="A21" s="46" t="s">
        <v>213</v>
      </c>
      <c r="B21" s="27" t="s">
        <v>214</v>
      </c>
      <c r="C21" s="27" t="s">
        <v>215</v>
      </c>
      <c r="D21" s="27" t="s">
        <v>216</v>
      </c>
      <c r="E21" s="42"/>
      <c r="F21" s="43"/>
    </row>
    <row r="22" spans="1:6" ht="72">
      <c r="A22" s="38" t="s">
        <v>217</v>
      </c>
      <c r="B22" s="6" t="s">
        <v>214</v>
      </c>
      <c r="C22" s="6" t="s">
        <v>218</v>
      </c>
      <c r="D22" s="6" t="s">
        <v>219</v>
      </c>
      <c r="E22" s="42"/>
      <c r="F22" s="43"/>
    </row>
    <row r="23" spans="1:6" ht="64.5">
      <c r="A23" s="46" t="s">
        <v>220</v>
      </c>
      <c r="B23" s="27" t="s">
        <v>214</v>
      </c>
      <c r="C23" s="27" t="s">
        <v>221</v>
      </c>
      <c r="D23" s="27" t="s">
        <v>222</v>
      </c>
      <c r="E23" s="42"/>
      <c r="F23" s="43"/>
    </row>
    <row r="24" spans="1:6" ht="43.5">
      <c r="A24" s="38" t="s">
        <v>223</v>
      </c>
      <c r="B24" s="6" t="s">
        <v>224</v>
      </c>
      <c r="C24" s="6" t="s">
        <v>225</v>
      </c>
      <c r="D24" s="6" t="s">
        <v>226</v>
      </c>
      <c r="E24" s="42"/>
      <c r="F24" s="43"/>
    </row>
    <row r="25" spans="1:6" ht="101.25">
      <c r="A25" s="46" t="s">
        <v>227</v>
      </c>
      <c r="B25" s="27" t="s">
        <v>224</v>
      </c>
      <c r="C25" s="27" t="s">
        <v>228</v>
      </c>
      <c r="D25" s="27" t="s">
        <v>229</v>
      </c>
      <c r="E25" s="42"/>
      <c r="F25" s="43"/>
    </row>
    <row r="26" spans="1:6" ht="29.25">
      <c r="A26" s="39" t="s">
        <v>230</v>
      </c>
      <c r="B26" s="10" t="s">
        <v>224</v>
      </c>
      <c r="C26" s="10" t="s">
        <v>231</v>
      </c>
      <c r="D26" s="10" t="s">
        <v>232</v>
      </c>
      <c r="E26" s="44"/>
      <c r="F26" s="45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EF71-2B4F-4628-BBED-5DF768D439D8}">
  <dimension ref="A1:I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17.7109375" customWidth="1"/>
    <col min="3" max="8" width="12.7109375" customWidth="1"/>
    <col min="9" max="9" width="13.7109375" customWidth="1"/>
  </cols>
  <sheetData>
    <row r="1" spans="1:9" ht="27.75" customHeight="1">
      <c r="A1" s="1" t="s">
        <v>233</v>
      </c>
      <c r="B1" s="1"/>
      <c r="C1" s="1"/>
      <c r="D1" s="1"/>
      <c r="E1" s="1"/>
      <c r="F1" s="1"/>
      <c r="G1" s="1"/>
      <c r="H1" s="1"/>
      <c r="I1" s="1"/>
    </row>
    <row r="2" spans="1:9">
      <c r="A2" s="48" t="s">
        <v>234</v>
      </c>
      <c r="B2" s="48"/>
      <c r="C2" s="48"/>
      <c r="D2" s="48"/>
      <c r="E2" s="48"/>
      <c r="F2" s="48"/>
      <c r="G2" s="48"/>
      <c r="H2" s="48"/>
      <c r="I2" s="48"/>
    </row>
    <row r="3" spans="1:9" ht="21.75" customHeight="1">
      <c r="A3" s="4" t="s">
        <v>3</v>
      </c>
      <c r="B3" s="4" t="s">
        <v>7</v>
      </c>
      <c r="C3" s="4" t="s">
        <v>14</v>
      </c>
      <c r="D3" s="4" t="s">
        <v>235</v>
      </c>
      <c r="E3" s="4" t="s">
        <v>236</v>
      </c>
      <c r="F3" s="4" t="s">
        <v>237</v>
      </c>
      <c r="G3" s="4" t="s">
        <v>238</v>
      </c>
      <c r="H3" s="4" t="s">
        <v>239</v>
      </c>
      <c r="I3" s="4" t="s">
        <v>240</v>
      </c>
    </row>
    <row r="4" spans="1:9">
      <c r="A4" s="49" t="s">
        <v>10</v>
      </c>
      <c r="B4" s="51">
        <f>_xlfn.MINIFS(Checklist!$F$4:$F$200,Checklist!$B$4:$B$200,$A4)</f>
        <v>46321</v>
      </c>
      <c r="C4" s="53">
        <f>COUNTIFS(Checklist!$B$4:$B$200,$A4,Checklist!$G$4:$G$200,C$3)</f>
        <v>10</v>
      </c>
      <c r="D4" s="53">
        <f>COUNTIFS(Checklist!$B$4:$B$200,$A4,Checklist!$G$4:$G$200,D$3)</f>
        <v>0</v>
      </c>
      <c r="E4" s="53">
        <f>COUNTIFS(Checklist!$B$4:$B$200,$A4,Checklist!$G$4:$G$200,E$3)</f>
        <v>0</v>
      </c>
      <c r="F4" s="53">
        <f>COUNTIFS(Checklist!$B$4:$B$200,$A4,Checklist!$G$4:$G$200,F$3)</f>
        <v>0</v>
      </c>
      <c r="G4" s="53">
        <f>COUNTIFS(Checklist!$B$4:$B$200,$A4,Checklist!$G$4:$G$200,G$3)</f>
        <v>0</v>
      </c>
      <c r="H4" s="53">
        <f>COUNTIF(Checklist!$B$4:$B$200,$A4)</f>
        <v>10</v>
      </c>
      <c r="I4" s="55">
        <f>IF(H4-G4=0,0,E4/(H4-G4))</f>
        <v>0</v>
      </c>
    </row>
    <row r="5" spans="1:9">
      <c r="A5" s="63" t="s">
        <v>38</v>
      </c>
      <c r="B5" s="64">
        <f>_xlfn.MINIFS(Checklist!$F$4:$F$200,Checklist!$B$4:$B$200,$A5)</f>
        <v>46322</v>
      </c>
      <c r="C5" s="65">
        <f>COUNTIFS(Checklist!$B$4:$B$200,$A5,Checklist!$G$4:$G$200,C$3)</f>
        <v>19</v>
      </c>
      <c r="D5" s="65">
        <f>COUNTIFS(Checklist!$B$4:$B$200,$A5,Checklist!$G$4:$G$200,D$3)</f>
        <v>0</v>
      </c>
      <c r="E5" s="65">
        <f>COUNTIFS(Checklist!$B$4:$B$200,$A5,Checklist!$G$4:$G$200,E$3)</f>
        <v>0</v>
      </c>
      <c r="F5" s="65">
        <f>COUNTIFS(Checklist!$B$4:$B$200,$A5,Checklist!$G$4:$G$200,F$3)</f>
        <v>0</v>
      </c>
      <c r="G5" s="65">
        <f>COUNTIFS(Checklist!$B$4:$B$200,$A5,Checklist!$G$4:$G$200,G$3)</f>
        <v>0</v>
      </c>
      <c r="H5" s="65">
        <f>COUNTIF(Checklist!$B$4:$B$200,$A5)</f>
        <v>19</v>
      </c>
      <c r="I5" s="66">
        <f>IF(H5-G5=0,0,E5/(H5-G5))</f>
        <v>0</v>
      </c>
    </row>
    <row r="6" spans="1:9">
      <c r="A6" s="50" t="s">
        <v>71</v>
      </c>
      <c r="B6" s="52">
        <f>_xlfn.MINIFS(Checklist!$F$4:$F$200,Checklist!$B$4:$B$200,$A6)</f>
        <v>46324</v>
      </c>
      <c r="C6" s="54">
        <f>COUNTIFS(Checklist!$B$4:$B$200,$A6,Checklist!$G$4:$G$200,C$3)</f>
        <v>10</v>
      </c>
      <c r="D6" s="54">
        <f>COUNTIFS(Checklist!$B$4:$B$200,$A6,Checklist!$G$4:$G$200,D$3)</f>
        <v>0</v>
      </c>
      <c r="E6" s="54">
        <f>COUNTIFS(Checklist!$B$4:$B$200,$A6,Checklist!$G$4:$G$200,E$3)</f>
        <v>0</v>
      </c>
      <c r="F6" s="54">
        <f>COUNTIFS(Checklist!$B$4:$B$200,$A6,Checklist!$G$4:$G$200,F$3)</f>
        <v>0</v>
      </c>
      <c r="G6" s="54">
        <f>COUNTIFS(Checklist!$B$4:$B$200,$A6,Checklist!$G$4:$G$200,G$3)</f>
        <v>0</v>
      </c>
      <c r="H6" s="54">
        <f>COUNTIF(Checklist!$B$4:$B$200,$A6)</f>
        <v>10</v>
      </c>
      <c r="I6" s="56">
        <f>IF(H6-G6=0,0,E6/(H6-G6))</f>
        <v>0</v>
      </c>
    </row>
    <row r="7" spans="1:9">
      <c r="A7" s="63" t="s">
        <v>94</v>
      </c>
      <c r="B7" s="64">
        <f>_xlfn.MINIFS(Checklist!$F$4:$F$200,Checklist!$B$4:$B$200,$A7)</f>
        <v>46326</v>
      </c>
      <c r="C7" s="65">
        <f>COUNTIFS(Checklist!$B$4:$B$200,$A7,Checklist!$G$4:$G$200,C$3)</f>
        <v>9</v>
      </c>
      <c r="D7" s="65">
        <f>COUNTIFS(Checklist!$B$4:$B$200,$A7,Checklist!$G$4:$G$200,D$3)</f>
        <v>0</v>
      </c>
      <c r="E7" s="65">
        <f>COUNTIFS(Checklist!$B$4:$B$200,$A7,Checklist!$G$4:$G$200,E$3)</f>
        <v>0</v>
      </c>
      <c r="F7" s="65">
        <f>COUNTIFS(Checklist!$B$4:$B$200,$A7,Checklist!$G$4:$G$200,F$3)</f>
        <v>0</v>
      </c>
      <c r="G7" s="65">
        <f>COUNTIFS(Checklist!$B$4:$B$200,$A7,Checklist!$G$4:$G$200,G$3)</f>
        <v>0</v>
      </c>
      <c r="H7" s="65">
        <f>COUNTIF(Checklist!$B$4:$B$200,$A7)</f>
        <v>9</v>
      </c>
      <c r="I7" s="66">
        <f>IF(H7-G7=0,0,E7/(H7-G7))</f>
        <v>0</v>
      </c>
    </row>
    <row r="8" spans="1:9">
      <c r="A8" s="50" t="s">
        <v>116</v>
      </c>
      <c r="B8" s="52">
        <f>_xlfn.MINIFS(Checklist!$F$4:$F$200,Checklist!$B$4:$B$200,$A8)</f>
        <v>46328</v>
      </c>
      <c r="C8" s="54">
        <f>COUNTIFS(Checklist!$B$4:$B$200,$A8,Checklist!$G$4:$G$200,C$3)</f>
        <v>6</v>
      </c>
      <c r="D8" s="54">
        <f>COUNTIFS(Checklist!$B$4:$B$200,$A8,Checklist!$G$4:$G$200,D$3)</f>
        <v>0</v>
      </c>
      <c r="E8" s="54">
        <f>COUNTIFS(Checklist!$B$4:$B$200,$A8,Checklist!$G$4:$G$200,E$3)</f>
        <v>0</v>
      </c>
      <c r="F8" s="54">
        <f>COUNTIFS(Checklist!$B$4:$B$200,$A8,Checklist!$G$4:$G$200,F$3)</f>
        <v>0</v>
      </c>
      <c r="G8" s="54">
        <f>COUNTIFS(Checklist!$B$4:$B$200,$A8,Checklist!$G$4:$G$200,G$3)</f>
        <v>0</v>
      </c>
      <c r="H8" s="54">
        <f>COUNTIF(Checklist!$B$4:$B$200,$A8)</f>
        <v>6</v>
      </c>
      <c r="I8" s="56">
        <f>IF(H8-G8=0,0,E8/(H8-G8))</f>
        <v>0</v>
      </c>
    </row>
    <row r="9" spans="1:9">
      <c r="A9" s="63" t="s">
        <v>131</v>
      </c>
      <c r="B9" s="64">
        <f>_xlfn.MINIFS(Checklist!$F$4:$F$200,Checklist!$B$4:$B$200,$A9)</f>
        <v>46329</v>
      </c>
      <c r="C9" s="65">
        <f>COUNTIFS(Checklist!$B$4:$B$200,$A9,Checklist!$G$4:$G$200,C$3)</f>
        <v>4</v>
      </c>
      <c r="D9" s="65">
        <f>COUNTIFS(Checklist!$B$4:$B$200,$A9,Checklist!$G$4:$G$200,D$3)</f>
        <v>0</v>
      </c>
      <c r="E9" s="65">
        <f>COUNTIFS(Checklist!$B$4:$B$200,$A9,Checklist!$G$4:$G$200,E$3)</f>
        <v>0</v>
      </c>
      <c r="F9" s="65">
        <f>COUNTIFS(Checklist!$B$4:$B$200,$A9,Checklist!$G$4:$G$200,F$3)</f>
        <v>0</v>
      </c>
      <c r="G9" s="65">
        <f>COUNTIFS(Checklist!$B$4:$B$200,$A9,Checklist!$G$4:$G$200,G$3)</f>
        <v>0</v>
      </c>
      <c r="H9" s="65">
        <f>COUNTIF(Checklist!$B$4:$B$200,$A9)</f>
        <v>4</v>
      </c>
      <c r="I9" s="66">
        <f>IF(H9-G9=0,0,E9/(H9-G9))</f>
        <v>0</v>
      </c>
    </row>
    <row r="10" spans="1:9">
      <c r="A10" s="50" t="s">
        <v>141</v>
      </c>
      <c r="B10" s="52">
        <f>_xlfn.MINIFS(Checklist!$F$4:$F$200,Checklist!$B$4:$B$200,$A10)</f>
        <v>46336</v>
      </c>
      <c r="C10" s="54">
        <f>COUNTIFS(Checklist!$B$4:$B$200,$A10,Checklist!$G$4:$G$200,C$3)</f>
        <v>7</v>
      </c>
      <c r="D10" s="54">
        <f>COUNTIFS(Checklist!$B$4:$B$200,$A10,Checklist!$G$4:$G$200,D$3)</f>
        <v>0</v>
      </c>
      <c r="E10" s="54">
        <f>COUNTIFS(Checklist!$B$4:$B$200,$A10,Checklist!$G$4:$G$200,E$3)</f>
        <v>0</v>
      </c>
      <c r="F10" s="54">
        <f>COUNTIFS(Checklist!$B$4:$B$200,$A10,Checklist!$G$4:$G$200,F$3)</f>
        <v>0</v>
      </c>
      <c r="G10" s="54">
        <f>COUNTIFS(Checklist!$B$4:$B$200,$A10,Checklist!$G$4:$G$200,G$3)</f>
        <v>0</v>
      </c>
      <c r="H10" s="54">
        <f>COUNTIF(Checklist!$B$4:$B$200,$A10)</f>
        <v>7</v>
      </c>
      <c r="I10" s="56">
        <f>IF(H10-G10=0,0,E10/(H10-G10))</f>
        <v>0</v>
      </c>
    </row>
    <row r="11" spans="1:9">
      <c r="A11" s="57" t="s">
        <v>239</v>
      </c>
      <c r="B11" s="58"/>
      <c r="C11" s="59">
        <f>SUM(C4:C10)</f>
        <v>65</v>
      </c>
      <c r="D11" s="59">
        <f>SUM(D4:D10)</f>
        <v>0</v>
      </c>
      <c r="E11" s="59">
        <f>SUM(E4:E10)</f>
        <v>0</v>
      </c>
      <c r="F11" s="59">
        <f>SUM(F4:F10)</f>
        <v>0</v>
      </c>
      <c r="G11" s="59">
        <f>SUM(G4:G10)</f>
        <v>0</v>
      </c>
      <c r="H11" s="59">
        <f>SUM(H4:H10)</f>
        <v>65</v>
      </c>
      <c r="I11" s="60">
        <f>IF(H11-G11=0,0,E11/(H11-G11))</f>
        <v>0</v>
      </c>
    </row>
    <row r="12" spans="1:9">
      <c r="A12" s="47"/>
      <c r="B12" s="47"/>
      <c r="C12" s="47"/>
      <c r="D12" s="47"/>
      <c r="E12" s="47"/>
      <c r="F12" s="47"/>
      <c r="G12" s="47"/>
      <c r="H12" s="47"/>
      <c r="I12" s="47"/>
    </row>
    <row r="13" spans="1:9">
      <c r="A13" s="61" t="s">
        <v>241</v>
      </c>
      <c r="B13" s="61"/>
      <c r="C13" s="61"/>
      <c r="D13" s="61"/>
      <c r="E13" s="61"/>
      <c r="F13" s="61"/>
      <c r="G13" s="61"/>
      <c r="H13" s="62">
        <f>H11-COUNTA(Checklist!$D$4:$D$200)</f>
        <v>0</v>
      </c>
      <c r="I13" s="61"/>
    </row>
    <row r="14" spans="1:9">
      <c r="A14" s="61" t="s">
        <v>242</v>
      </c>
      <c r="B14" s="61"/>
      <c r="C14" s="61"/>
      <c r="D14" s="61"/>
      <c r="E14" s="61"/>
      <c r="F14" s="61"/>
      <c r="G14" s="61"/>
      <c r="H14" s="62">
        <f>COUNTA(Checklist!$D$4:$D$200)-SUM(C11:G11)</f>
        <v>0</v>
      </c>
      <c r="I14" s="61"/>
    </row>
  </sheetData>
  <mergeCells count="2">
    <mergeCell ref="A1:I1"/>
    <mergeCell ref="A2:I2"/>
  </mergeCells>
  <conditionalFormatting sqref="F4:F11">
    <cfRule type="cellIs" dxfId="1" priority="1" operator="greaterThan">
      <formula>0</formula>
    </cfRule>
  </conditionalFormatting>
  <conditionalFormatting sqref="I4:I11">
    <cfRule type="cellIs" dxfId="0" priority="2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i:0#.f|membership|wesleyfloyd@microsoft.com</cp:lastModifiedBy>
  <cp:revision/>
  <dcterms:created xsi:type="dcterms:W3CDTF">2026-10-23T16:05:18Z</dcterms:created>
  <dcterms:modified xsi:type="dcterms:W3CDTF">2026-10-23T16:07:43Z</dcterms:modified>
  <cp:category/>
  <cp:contentStatus/>
</cp:coreProperties>
</file>